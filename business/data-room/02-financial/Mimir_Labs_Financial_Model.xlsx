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&amp;L" sheetId="5" state="visible" r:id="rId5"/>
    <sheet xmlns:r="http://schemas.openxmlformats.org/officeDocument/2006/relationships" name="Cash &amp; Runway" sheetId="6" state="visible" r:id="rId6"/>
    <sheet xmlns:r="http://schemas.openxmlformats.org/officeDocument/2006/relationships" name="Cap Table" sheetId="7" state="visible" r:id="rId7"/>
    <sheet xmlns:r="http://schemas.openxmlformats.org/officeDocument/2006/relationships" name="Unit Economics" sheetId="8" state="visible" r:id="rId8"/>
  </sheets>
  <definedNames>
    <definedName name="_xlnm.Print_Area" localSheetId="4">'P&amp;L'!$A$1:$G$11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"/>
    <numFmt numFmtId="166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0E5A5A"/>
      <sz val="18"/>
    </font>
    <font>
      <name val="Calibri"/>
      <i val="1"/>
      <color rgb="005B6B6B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1A2B2B"/>
      <sz val="11"/>
    </font>
    <font>
      <name val="Calibri"/>
      <b val="1"/>
      <color rgb="000E5A5A"/>
      <sz val="11"/>
    </font>
    <font>
      <name val="Calibri"/>
      <color rgb="005B6B6B"/>
      <sz val="11"/>
    </font>
    <font>
      <name val="Calibri"/>
      <b val="1"/>
      <color rgb="001A2B2B"/>
      <sz val="11"/>
    </font>
    <font>
      <name val="Calibri"/>
      <i val="1"/>
      <color rgb="005B6B6B"/>
      <sz val="9"/>
    </font>
    <font>
      <name val="Calibri"/>
      <i val="1"/>
      <color rgb="00B08A2E"/>
      <sz val="9"/>
    </font>
    <font>
      <name val="Calibri"/>
      <b val="1"/>
      <color rgb="000E5A5A"/>
      <sz val="10"/>
    </font>
    <font>
      <name val="Calibri"/>
      <b val="1"/>
      <color rgb="000E5A5A"/>
      <sz val="28"/>
    </font>
    <font>
      <name val="Calibri"/>
      <color rgb="001A2B2B"/>
      <sz val="15"/>
    </font>
    <font>
      <name val="Calibri"/>
      <i val="1"/>
      <color rgb="005B6B6B"/>
      <sz val="11"/>
    </font>
    <font>
      <name val="Calibri"/>
      <color rgb="005B6B6B"/>
      <sz val="10"/>
    </font>
  </fonts>
  <fills count="6">
    <fill>
      <patternFill/>
    </fill>
    <fill>
      <patternFill patternType="gray125"/>
    </fill>
    <fill>
      <patternFill patternType="solid">
        <fgColor rgb="000E5A5A"/>
      </patternFill>
    </fill>
    <fill>
      <patternFill patternType="solid">
        <fgColor rgb="0012726F"/>
      </patternFill>
    </fill>
    <fill>
      <patternFill patternType="solid">
        <fgColor rgb="00EAF2F1"/>
      </patternFill>
    </fill>
    <fill>
      <patternFill patternType="solid">
        <fgColor rgb="00F5F8F8"/>
      </patternFill>
    </fill>
  </fills>
  <borders count="2">
    <border>
      <left/>
      <right/>
      <top/>
      <bottom/>
      <diagonal/>
    </border>
    <border>
      <top style="medium">
        <color rgb="000E5A5A"/>
      </top>
      <bottom style="medium">
        <color rgb="000E5A5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horizontal="left"/>
    </xf>
    <xf numFmtId="164" fontId="6" fillId="4" borderId="0" applyAlignment="1" pivotButton="0" quotePrefix="0" xfId="0">
      <alignment horizontal="right" vertical="center"/>
    </xf>
    <xf numFmtId="9" fontId="6" fillId="4" borderId="0" applyAlignment="1" pivotButton="0" quotePrefix="0" xfId="0">
      <alignment horizontal="right" vertical="center"/>
    </xf>
    <xf numFmtId="165" fontId="6" fillId="4" borderId="0" applyAlignment="1" pivotButton="0" quotePrefix="0" xfId="0">
      <alignment horizontal="right" vertical="center"/>
    </xf>
    <xf numFmtId="3" fontId="5" fillId="5" borderId="0" applyAlignment="1" pivotButton="0" quotePrefix="0" xfId="0">
      <alignment horizontal="right" vertical="center"/>
    </xf>
    <xf numFmtId="164" fontId="5" fillId="5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/>
    </xf>
    <xf numFmtId="164" fontId="6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/>
    </xf>
    <xf numFmtId="166" fontId="5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top" wrapText="1"/>
    </xf>
    <xf numFmtId="3" fontId="5" fillId="0" borderId="0" applyAlignment="1" pivotButton="0" quotePrefix="0" xfId="0">
      <alignment horizontal="righ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" t="inlineStr">
        <is>
          <t>MIMIR LABS</t>
        </is>
      </c>
    </row>
    <row r="3">
      <c r="B3" s="2" t="inlineStr">
        <is>
          <t>Five-Year Financial Model &amp; P&amp;L Projections</t>
        </is>
      </c>
    </row>
    <row r="4">
      <c r="B4" s="3" t="inlineStr">
        <is>
          <t>Norn - Ratatosk - Ragnarok - Bifrost - Yggdrasil ERP</t>
        </is>
      </c>
    </row>
    <row r="6">
      <c r="B6" s="4" t="inlineStr">
        <is>
          <t>Prepared July 2026 - Confidential, for investor discussion</t>
        </is>
      </c>
    </row>
    <row r="8">
      <c r="B8" s="5" t="inlineStr">
        <is>
          <t>Basis</t>
        </is>
      </c>
      <c r="C8" s="6" t="inlineStr">
        <is>
          <t>Current canonical Yggdrasil pricing ($100K + $17.5K x Footprint Score); $800K pre-seed</t>
        </is>
      </c>
    </row>
    <row r="9">
      <c r="B9" s="5" t="inlineStr">
        <is>
          <t>Year 1</t>
        </is>
      </c>
      <c r="C9" s="6" t="inlineStr">
        <is>
          <t>Total revenue $380K - Net income $265K - cash-flow positive</t>
        </is>
      </c>
    </row>
    <row r="10">
      <c r="B10" s="5" t="inlineStr">
        <is>
          <t>Year 5</t>
        </is>
      </c>
      <c r="C10" s="6" t="inlineStr">
        <is>
          <t>Total revenue $23.8M - Recurring ARR $20.0M - Net income $19.8M</t>
        </is>
      </c>
    </row>
    <row r="11">
      <c r="B11" s="5" t="inlineStr">
        <is>
          <t>Model</t>
        </is>
      </c>
      <c r="C11" s="6" t="inlineStr">
        <is>
          <t>Fully formula-driven: edit any highlighted driver on the Assumptions tab and every statement recalculates</t>
        </is>
      </c>
    </row>
    <row r="12">
      <c r="B12" s="5" t="inlineStr">
        <is>
          <t>Tabs</t>
        </is>
      </c>
      <c r="C12" s="6" t="inlineStr">
        <is>
          <t>Assumptions - Revenue - Expenses - P&amp;L - Cash &amp; Runway - Cap Table - Unit Economics</t>
        </is>
      </c>
    </row>
    <row r="15" ht="40" customHeight="1">
      <c r="B15" s="7" t="inlineStr">
        <is>
          <t>Figures reconcile to the canonical source docs. Non-Yggdrasil lines tie to the published projections; Yggdrasil is on current canonical pricing. Sales/BD commission is funded from sales revenue, not from the raise.</t>
        </is>
      </c>
    </row>
  </sheetData>
  <mergeCells count="10">
    <mergeCell ref="C11:H11"/>
    <mergeCell ref="C10:H10"/>
    <mergeCell ref="B4:H4"/>
    <mergeCell ref="C9:H9"/>
    <mergeCell ref="B6:H6"/>
    <mergeCell ref="B2:H2"/>
    <mergeCell ref="C8:H8"/>
    <mergeCell ref="B15:H15"/>
    <mergeCell ref="C12:H12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4" customHeight="1">
      <c r="A1" s="8" t="inlineStr">
        <is>
          <t>Mimir Labs - Financial Model</t>
        </is>
      </c>
    </row>
    <row r="2">
      <c r="A2" s="9" t="inlineStr">
        <is>
          <t>All figures USD. Highlighted cells are the editable drivers; every other tab computes from these. Basis: current canonical Yggdrasil pricing; $800K pre-seed raise.</t>
        </is>
      </c>
    </row>
    <row r="4">
      <c r="A4" s="10" t="n"/>
      <c r="B4" s="10" t="n"/>
      <c r="C4" s="11" t="inlineStr">
        <is>
          <t>Year 1</t>
        </is>
      </c>
      <c r="D4" s="11" t="inlineStr">
        <is>
          <t>Year 2</t>
        </is>
      </c>
      <c r="E4" s="11" t="inlineStr">
        <is>
          <t>Year 3</t>
        </is>
      </c>
      <c r="F4" s="11" t="inlineStr">
        <is>
          <t>Year 4</t>
        </is>
      </c>
      <c r="G4" s="11" t="inlineStr">
        <is>
          <t>Year 5</t>
        </is>
      </c>
    </row>
    <row r="5">
      <c r="A5" s="12" t="inlineStr">
        <is>
          <t>Yggdrasil ERP - pricing constants (canonical)</t>
        </is>
      </c>
    </row>
    <row r="6">
      <c r="A6" s="14" t="inlineStr">
        <is>
          <t>Base annual license ($)</t>
        </is>
      </c>
      <c r="C6" s="15" t="n">
        <v>100000</v>
      </c>
    </row>
    <row r="7">
      <c r="A7" s="14" t="inlineStr">
        <is>
          <t>Per Footprint-point rate ($)</t>
        </is>
      </c>
      <c r="C7" s="15" t="n">
        <v>17500</v>
      </c>
    </row>
    <row r="8">
      <c r="A8" s="14" t="inlineStr">
        <is>
          <t>Representative license - Compliance Core ($)</t>
        </is>
      </c>
      <c r="C8" s="15" t="n">
        <v>150000</v>
      </c>
    </row>
    <row r="9">
      <c r="A9" s="14" t="inlineStr">
        <is>
          <t>Representative license - Operational Core ($)</t>
        </is>
      </c>
      <c r="C9" s="15" t="n">
        <v>220000</v>
      </c>
    </row>
    <row r="10">
      <c r="A10" s="14" t="inlineStr">
        <is>
          <t>Representative license - Regulated Enterprise ($)</t>
        </is>
      </c>
      <c r="C10" s="15" t="n">
        <v>380000</v>
      </c>
    </row>
    <row r="11">
      <c r="A11" s="14" t="inlineStr">
        <is>
          <t>Representative license - Strategic ($)</t>
        </is>
      </c>
      <c r="C11" s="15" t="n">
        <v>650000</v>
      </c>
    </row>
    <row r="12">
      <c r="A12" s="14" t="inlineStr">
        <is>
          <t>Pilot Track price ($)</t>
        </is>
      </c>
      <c r="C12" s="15" t="n">
        <v>55000</v>
      </c>
    </row>
    <row r="13">
      <c r="A13" s="14" t="inlineStr">
        <is>
          <t>Average activation fee ($)</t>
        </is>
      </c>
      <c r="C13" s="15" t="n">
        <v>75000</v>
      </c>
    </row>
    <row r="14">
      <c r="A14" s="14" t="inlineStr">
        <is>
          <t>Pilot-to-paid conversion credit ($)</t>
        </is>
      </c>
      <c r="C14" s="15" t="n">
        <v>27500</v>
      </c>
    </row>
    <row r="15">
      <c r="A15" s="14" t="inlineStr">
        <is>
          <t>Audit Authority attach rate (Y3+)</t>
        </is>
      </c>
      <c r="C15" s="16" t="n">
        <v>0.3</v>
      </c>
    </row>
    <row r="16">
      <c r="A16" s="14" t="inlineStr">
        <is>
          <t>Audit Authority regimes per opted tenant</t>
        </is>
      </c>
      <c r="C16" s="17" t="n">
        <v>1.2</v>
      </c>
    </row>
    <row r="17">
      <c r="A17" s="14" t="inlineStr">
        <is>
          <t>Audit Authority price per regime ($)</t>
        </is>
      </c>
      <c r="C17" s="15" t="n">
        <v>35000</v>
      </c>
    </row>
    <row r="18">
      <c r="A18" s="12" t="inlineStr">
        <is>
          <t>Yggdrasil ERP - adoption drivers (EOY tenant counts)</t>
        </is>
      </c>
    </row>
    <row r="19">
      <c r="A19" s="14" t="inlineStr">
        <is>
          <t>Compliance Core tenants (EOY)</t>
        </is>
      </c>
      <c r="C19" s="18" t="n">
        <v>1</v>
      </c>
      <c r="D19" s="18" t="n">
        <v>4</v>
      </c>
      <c r="E19" s="18" t="n">
        <v>9</v>
      </c>
      <c r="F19" s="18" t="n">
        <v>17</v>
      </c>
      <c r="G19" s="18" t="n">
        <v>29</v>
      </c>
    </row>
    <row r="20">
      <c r="A20" s="14" t="inlineStr">
        <is>
          <t>Operational Core tenants (EOY)</t>
        </is>
      </c>
      <c r="C20" s="18" t="n">
        <v>0</v>
      </c>
      <c r="D20" s="18" t="n">
        <v>1</v>
      </c>
      <c r="E20" s="18" t="n">
        <v>3</v>
      </c>
      <c r="F20" s="18" t="n">
        <v>8</v>
      </c>
      <c r="G20" s="18" t="n">
        <v>18</v>
      </c>
    </row>
    <row r="21">
      <c r="A21" s="14" t="inlineStr">
        <is>
          <t>Regulated Enterprise tenants (EOY)</t>
        </is>
      </c>
      <c r="C21" s="18" t="n">
        <v>0</v>
      </c>
      <c r="D21" s="18" t="n">
        <v>0</v>
      </c>
      <c r="E21" s="18" t="n">
        <v>1</v>
      </c>
      <c r="F21" s="18" t="n">
        <v>3</v>
      </c>
      <c r="G21" s="18" t="n">
        <v>5</v>
      </c>
    </row>
    <row r="22">
      <c r="A22" s="14" t="inlineStr">
        <is>
          <t>Strategic tenants (EOY)</t>
        </is>
      </c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1</v>
      </c>
    </row>
    <row r="23">
      <c r="A23" s="14" t="inlineStr">
        <is>
          <t>Pilots sold (in year)</t>
        </is>
      </c>
      <c r="C23" s="18" t="n">
        <v>3</v>
      </c>
      <c r="D23" s="18" t="n">
        <v>8</v>
      </c>
      <c r="E23" s="18" t="n">
        <v>14</v>
      </c>
      <c r="F23" s="18" t="n">
        <v>25</v>
      </c>
      <c r="G23" s="18" t="n">
        <v>40</v>
      </c>
    </row>
    <row r="24">
      <c r="A24" s="14" t="inlineStr">
        <is>
          <t>Pilot -&gt; paid conversions (in year)</t>
        </is>
      </c>
      <c r="C24" s="18" t="n">
        <v>1</v>
      </c>
      <c r="D24" s="18" t="n">
        <v>4</v>
      </c>
      <c r="E24" s="18" t="n">
        <v>8</v>
      </c>
      <c r="F24" s="18" t="n">
        <v>15</v>
      </c>
      <c r="G24" s="18" t="n">
        <v>25</v>
      </c>
    </row>
    <row r="25">
      <c r="A25" s="12" t="inlineStr">
        <is>
          <t>Norn (self-serve SaaS wedge)</t>
        </is>
      </c>
    </row>
    <row r="26">
      <c r="A26" s="14" t="inlineStr">
        <is>
          <t>Active paid accounts (EOY)</t>
        </is>
      </c>
      <c r="C26" s="18" t="n">
        <v>24</v>
      </c>
      <c r="D26" s="18" t="n">
        <v>109</v>
      </c>
      <c r="E26" s="18" t="n">
        <v>389</v>
      </c>
      <c r="F26" s="18" t="n">
        <v>979</v>
      </c>
      <c r="G26" s="18" t="n">
        <v>1999</v>
      </c>
    </row>
    <row r="27">
      <c r="A27" s="14" t="inlineStr">
        <is>
          <t>Blended ARPA ($/mo)</t>
        </is>
      </c>
      <c r="C27" s="19" t="n">
        <v>140</v>
      </c>
      <c r="D27" s="19" t="n">
        <v>170</v>
      </c>
      <c r="E27" s="19" t="n">
        <v>200</v>
      </c>
      <c r="F27" s="19" t="n">
        <v>220</v>
      </c>
      <c r="G27" s="19" t="n">
        <v>240</v>
      </c>
    </row>
    <row r="28">
      <c r="A28" s="12" t="inlineStr">
        <is>
          <t>Ratatosk (governance services)</t>
        </is>
      </c>
    </row>
    <row r="29">
      <c r="A29" s="14" t="inlineStr">
        <is>
          <t>Workshops delivered</t>
        </is>
      </c>
      <c r="C29" s="18" t="n">
        <v>4</v>
      </c>
      <c r="D29" s="18" t="n">
        <v>12</v>
      </c>
      <c r="E29" s="18" t="n">
        <v>28</v>
      </c>
      <c r="F29" s="18" t="n">
        <v>50</v>
      </c>
      <c r="G29" s="18" t="n">
        <v>75</v>
      </c>
    </row>
    <row r="30">
      <c r="A30" s="14" t="inlineStr">
        <is>
          <t>Avg engagement value ($)</t>
        </is>
      </c>
      <c r="C30" s="19" t="n">
        <v>8000</v>
      </c>
      <c r="D30" s="19" t="n">
        <v>9500</v>
      </c>
      <c r="E30" s="19" t="n">
        <v>11000</v>
      </c>
      <c r="F30" s="19" t="n">
        <v>12000</v>
      </c>
      <c r="G30" s="19" t="n">
        <v>13000</v>
      </c>
    </row>
    <row r="31">
      <c r="A31" s="12" t="inlineStr">
        <is>
          <t>Ragnarok (migration services)</t>
        </is>
      </c>
    </row>
    <row r="32">
      <c r="A32" s="14" t="inlineStr">
        <is>
          <t>Migrations delivered</t>
        </is>
      </c>
      <c r="C32" s="18" t="n">
        <v>1</v>
      </c>
      <c r="D32" s="18" t="n">
        <v>6</v>
      </c>
      <c r="E32" s="18" t="n">
        <v>16</v>
      </c>
      <c r="F32" s="18" t="n">
        <v>30</v>
      </c>
      <c r="G32" s="18" t="n">
        <v>48</v>
      </c>
    </row>
    <row r="33">
      <c r="A33" s="14" t="inlineStr">
        <is>
          <t>Avg engagement value ($)</t>
        </is>
      </c>
      <c r="C33" s="19" t="n">
        <v>20000</v>
      </c>
      <c r="D33" s="19" t="n">
        <v>28000</v>
      </c>
      <c r="E33" s="19" t="n">
        <v>35000</v>
      </c>
      <c r="F33" s="19" t="n">
        <v>40000</v>
      </c>
      <c r="G33" s="19" t="n">
        <v>45000</v>
      </c>
    </row>
    <row r="34">
      <c r="A34" s="12" t="inlineStr">
        <is>
          <t>Bifrost (integration SaaS)</t>
        </is>
      </c>
    </row>
    <row r="35">
      <c r="A35" s="14" t="inlineStr">
        <is>
          <t>Active subscribers (EOY)</t>
        </is>
      </c>
      <c r="C35" s="18" t="n">
        <v>0</v>
      </c>
      <c r="D35" s="18" t="n">
        <v>3</v>
      </c>
      <c r="E35" s="18" t="n">
        <v>12</v>
      </c>
      <c r="F35" s="18" t="n">
        <v>31</v>
      </c>
      <c r="G35" s="18" t="n">
        <v>64</v>
      </c>
    </row>
    <row r="36">
      <c r="A36" s="14" t="inlineStr">
        <is>
          <t>Blended monthly ($)</t>
        </is>
      </c>
      <c r="C36" s="19" t="n">
        <v>0</v>
      </c>
      <c r="D36" s="19" t="n">
        <v>2500</v>
      </c>
      <c r="E36" s="19" t="n">
        <v>2800</v>
      </c>
      <c r="F36" s="19" t="n">
        <v>3200</v>
      </c>
      <c r="G36" s="19" t="n">
        <v>3500</v>
      </c>
    </row>
    <row r="37">
      <c r="A37" s="12" t="inlineStr">
        <is>
          <t>Operating expenses</t>
        </is>
      </c>
    </row>
    <row r="38">
      <c r="A38" s="14" t="inlineStr">
        <is>
          <t>Team size (FTE)</t>
        </is>
      </c>
      <c r="C38" s="18" t="n">
        <v>1</v>
      </c>
      <c r="D38" s="18" t="n">
        <v>3</v>
      </c>
      <c r="E38" s="18" t="n">
        <v>7</v>
      </c>
      <c r="F38" s="18" t="n">
        <v>14</v>
      </c>
      <c r="G38" s="18" t="n">
        <v>22</v>
      </c>
    </row>
    <row r="39">
      <c r="A39" s="14" t="inlineStr">
        <is>
          <t>Payroll + benefits ($)</t>
        </is>
      </c>
      <c r="C39" s="19" t="n">
        <v>0</v>
      </c>
      <c r="D39" s="19" t="n">
        <v>280000</v>
      </c>
      <c r="E39" s="19" t="n">
        <v>680000</v>
      </c>
      <c r="F39" s="19" t="n">
        <v>1400000</v>
      </c>
      <c r="G39" s="19" t="n">
        <v>2300000</v>
      </c>
    </row>
    <row r="40">
      <c r="A40" s="14" t="inlineStr">
        <is>
          <t>Founder draw ($)</t>
        </is>
      </c>
      <c r="C40" s="19" t="n">
        <v>60000</v>
      </c>
      <c r="D40" s="19" t="n">
        <v>80000</v>
      </c>
      <c r="E40" s="19" t="n">
        <v>120000</v>
      </c>
      <c r="F40" s="19" t="n">
        <v>150000</v>
      </c>
      <c r="G40" s="19" t="n">
        <v>180000</v>
      </c>
    </row>
    <row r="41">
      <c r="A41" s="14" t="inlineStr">
        <is>
          <t>Infrastructure (hosting, tools) ($)</t>
        </is>
      </c>
      <c r="C41" s="19" t="n">
        <v>12000</v>
      </c>
      <c r="D41" s="19" t="n">
        <v>36000</v>
      </c>
      <c r="E41" s="19" t="n">
        <v>96000</v>
      </c>
      <c r="F41" s="19" t="n">
        <v>200000</v>
      </c>
      <c r="G41" s="19" t="n">
        <v>380000</v>
      </c>
    </row>
    <row r="42">
      <c r="A42" s="14" t="inlineStr">
        <is>
          <t>Sales &amp; marketing ($)</t>
        </is>
      </c>
      <c r="C42" s="19" t="n">
        <v>15000</v>
      </c>
      <c r="D42" s="19" t="n">
        <v>80000</v>
      </c>
      <c r="E42" s="19" t="n">
        <v>250000</v>
      </c>
      <c r="F42" s="19" t="n">
        <v>500000</v>
      </c>
      <c r="G42" s="19" t="n">
        <v>800000</v>
      </c>
    </row>
    <row r="43">
      <c r="A43" s="14" t="inlineStr">
        <is>
          <t>Legal &amp; accounting ($)</t>
        </is>
      </c>
      <c r="C43" s="19" t="n">
        <v>10000</v>
      </c>
      <c r="D43" s="19" t="n">
        <v>20000</v>
      </c>
      <c r="E43" s="19" t="n">
        <v>35000</v>
      </c>
      <c r="F43" s="19" t="n">
        <v>50000</v>
      </c>
      <c r="G43" s="19" t="n">
        <v>70000</v>
      </c>
    </row>
    <row r="44">
      <c r="A44" s="14" t="inlineStr">
        <is>
          <t>Insurance &amp; compliance ($)</t>
        </is>
      </c>
      <c r="C44" s="19" t="n">
        <v>5000</v>
      </c>
      <c r="D44" s="19" t="n">
        <v>12000</v>
      </c>
      <c r="E44" s="19" t="n">
        <v>25000</v>
      </c>
      <c r="F44" s="19" t="n">
        <v>40000</v>
      </c>
      <c r="G44" s="19" t="n">
        <v>60000</v>
      </c>
    </row>
    <row r="45">
      <c r="A45" s="14" t="inlineStr">
        <is>
          <t>Travel ($)</t>
        </is>
      </c>
      <c r="C45" s="19" t="n">
        <v>8000</v>
      </c>
      <c r="D45" s="19" t="n">
        <v>30000</v>
      </c>
      <c r="E45" s="19" t="n">
        <v>60000</v>
      </c>
      <c r="F45" s="19" t="n">
        <v>100000</v>
      </c>
      <c r="G45" s="19" t="n">
        <v>140000</v>
      </c>
    </row>
    <row r="46">
      <c r="A46" s="14" t="inlineStr">
        <is>
          <t>G&amp;A ($)</t>
        </is>
      </c>
      <c r="C46" s="19" t="n">
        <v>5000</v>
      </c>
      <c r="D46" s="19" t="n">
        <v>15000</v>
      </c>
      <c r="E46" s="19" t="n">
        <v>30000</v>
      </c>
      <c r="F46" s="19" t="n">
        <v>50000</v>
      </c>
      <c r="G46" s="19" t="n">
        <v>70000</v>
      </c>
    </row>
    <row r="47">
      <c r="A47" s="12" t="inlineStr">
        <is>
          <t>Funding &amp; cap table</t>
        </is>
      </c>
    </row>
    <row r="48">
      <c r="A48" s="14" t="inlineStr">
        <is>
          <t>Cash on hand at start ($)</t>
        </is>
      </c>
      <c r="C48" s="15" t="n">
        <v>50000</v>
      </c>
    </row>
    <row r="49">
      <c r="A49" s="14" t="inlineStr">
        <is>
          <t>Pre-seed raise ($)</t>
        </is>
      </c>
      <c r="C49" s="15" t="n">
        <v>800000</v>
      </c>
    </row>
    <row r="50">
      <c r="A50" s="14" t="inlineStr">
        <is>
          <t>Pre-money valuation ($)</t>
        </is>
      </c>
      <c r="C50" s="15" t="n">
        <v>7200000</v>
      </c>
    </row>
  </sheetData>
  <mergeCells count="10">
    <mergeCell ref="A1:H1"/>
    <mergeCell ref="A18:G18"/>
    <mergeCell ref="A31:G31"/>
    <mergeCell ref="A28:G28"/>
    <mergeCell ref="A2:H2"/>
    <mergeCell ref="A34:G34"/>
    <mergeCell ref="A25:G25"/>
    <mergeCell ref="A47:G47"/>
    <mergeCell ref="A5:G5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4" customHeight="1">
      <c r="A1" s="8" t="inlineStr">
        <is>
          <t>Revenue Build</t>
        </is>
      </c>
    </row>
    <row r="2">
      <c r="A2" s="9" t="inlineStr">
        <is>
          <t>Every line computes from the Assumptions drivers. Yggdrasil rebuilt on canonical pricing; other lines tie to the published projections.</t>
        </is>
      </c>
    </row>
    <row r="4">
      <c r="A4" s="10" t="n"/>
      <c r="B4" s="10" t="n"/>
      <c r="C4" s="11" t="inlineStr">
        <is>
          <t>Year 1</t>
        </is>
      </c>
      <c r="D4" s="11" t="inlineStr">
        <is>
          <t>Year 2</t>
        </is>
      </c>
      <c r="E4" s="11" t="inlineStr">
        <is>
          <t>Year 3</t>
        </is>
      </c>
      <c r="F4" s="11" t="inlineStr">
        <is>
          <t>Year 4</t>
        </is>
      </c>
      <c r="G4" s="11" t="inlineStr">
        <is>
          <t>Year 5</t>
        </is>
      </c>
    </row>
    <row r="5">
      <c r="A5" s="12" t="inlineStr">
        <is>
          <t>Yggdrasil ERP</t>
        </is>
      </c>
    </row>
    <row r="6">
      <c r="A6" s="14" t="inlineStr">
        <is>
          <t>Subscription ARR run-rate (EOY)</t>
        </is>
      </c>
      <c r="C6" s="20">
        <f>Assumptions!C19*Assumptions!C8+Assumptions!C20*Assumptions!C9+Assumptions!C21*Assumptions!C10+Assumptions!C22*Assumptions!C11</f>
        <v/>
      </c>
      <c r="D6" s="20">
        <f>Assumptions!D19*Assumptions!C8+Assumptions!D20*Assumptions!C9+Assumptions!D21*Assumptions!C10+Assumptions!D22*Assumptions!C11</f>
        <v/>
      </c>
      <c r="E6" s="20">
        <f>Assumptions!E19*Assumptions!C8+Assumptions!E20*Assumptions!C9+Assumptions!E21*Assumptions!C10+Assumptions!E22*Assumptions!C11</f>
        <v/>
      </c>
      <c r="F6" s="20">
        <f>Assumptions!F19*Assumptions!C8+Assumptions!F20*Assumptions!C9+Assumptions!F21*Assumptions!C10+Assumptions!F22*Assumptions!C11</f>
        <v/>
      </c>
      <c r="G6" s="20">
        <f>Assumptions!G19*Assumptions!C8+Assumptions!G20*Assumptions!C9+Assumptions!G21*Assumptions!C10+Assumptions!G22*Assumptions!C11</f>
        <v/>
      </c>
    </row>
    <row r="7">
      <c r="A7" s="14" t="inlineStr">
        <is>
          <t>Subscription revenue (recognized, mid-year)</t>
        </is>
      </c>
      <c r="C7" s="20">
        <f>C6/2</f>
        <v/>
      </c>
      <c r="D7" s="20">
        <f>(C6+D6)/2</f>
        <v/>
      </c>
      <c r="E7" s="20">
        <f>(D6+E6)/2</f>
        <v/>
      </c>
      <c r="F7" s="20">
        <f>(E6+F6)/2</f>
        <v/>
      </c>
      <c r="G7" s="20">
        <f>(F6+G6)/2</f>
        <v/>
      </c>
    </row>
    <row r="8">
      <c r="A8" s="14" t="inlineStr">
        <is>
          <t>Pilot Track revenue</t>
        </is>
      </c>
      <c r="C8" s="20">
        <f>Assumptions!C23*Assumptions!C12</f>
        <v/>
      </c>
      <c r="D8" s="20">
        <f>Assumptions!D23*Assumptions!C12</f>
        <v/>
      </c>
      <c r="E8" s="20">
        <f>Assumptions!E23*Assumptions!C12</f>
        <v/>
      </c>
      <c r="F8" s="20">
        <f>Assumptions!F23*Assumptions!C12</f>
        <v/>
      </c>
      <c r="G8" s="20">
        <f>Assumptions!G23*Assumptions!C12</f>
        <v/>
      </c>
    </row>
    <row r="9">
      <c r="A9" s="14" t="inlineStr">
        <is>
          <t>Activation revenue (net of pilot credit)</t>
        </is>
      </c>
      <c r="C9" s="20">
        <f>Assumptions!C24*(Assumptions!C13-Assumptions!C14)</f>
        <v/>
      </c>
      <c r="D9" s="20">
        <f>Assumptions!D24*(Assumptions!C13-Assumptions!C14)</f>
        <v/>
      </c>
      <c r="E9" s="20">
        <f>Assumptions!E24*(Assumptions!C13-Assumptions!C14)</f>
        <v/>
      </c>
      <c r="F9" s="20">
        <f>Assumptions!F24*(Assumptions!C13-Assumptions!C14)</f>
        <v/>
      </c>
      <c r="G9" s="20">
        <f>Assumptions!G24*(Assumptions!C13-Assumptions!C14)</f>
        <v/>
      </c>
    </row>
    <row r="10">
      <c r="A10" s="14" t="inlineStr">
        <is>
          <t>Audit Authority revenue (30% attach, Y3+)</t>
        </is>
      </c>
      <c r="C10" s="20" t="n">
        <v>0</v>
      </c>
      <c r="D10" s="20" t="n">
        <v>0</v>
      </c>
      <c r="E10" s="20">
        <f>(Assumptions!E19+Assumptions!E20+Assumptions!E21+Assumptions!E22)*Assumptions!C15*Assumptions!C16*Assumptions!C17</f>
        <v/>
      </c>
      <c r="F10" s="20">
        <f>(Assumptions!F19+Assumptions!F20+Assumptions!F21+Assumptions!F22)*Assumptions!C15*Assumptions!C16*Assumptions!C17</f>
        <v/>
      </c>
      <c r="G10" s="20">
        <f>(Assumptions!G19+Assumptions!G20+Assumptions!G21+Assumptions!G22)*Assumptions!C15*Assumptions!C16*Assumptions!C17</f>
        <v/>
      </c>
    </row>
    <row r="11">
      <c r="A11" s="21" t="inlineStr">
        <is>
          <t>Total Yggdrasil revenue</t>
        </is>
      </c>
      <c r="C11" s="22">
        <f>C7+C8+C9+C10</f>
        <v/>
      </c>
      <c r="D11" s="22">
        <f>D7+D8+D9+D10</f>
        <v/>
      </c>
      <c r="E11" s="22">
        <f>E7+E8+E9+E10</f>
        <v/>
      </c>
      <c r="F11" s="22">
        <f>F7+F8+F9+F10</f>
        <v/>
      </c>
      <c r="G11" s="22">
        <f>G7+G8+G9+G10</f>
        <v/>
      </c>
    </row>
    <row r="13">
      <c r="A13" s="12" t="inlineStr">
        <is>
          <t>Norn (SaaS)</t>
        </is>
      </c>
    </row>
    <row r="14">
      <c r="A14" s="14" t="inlineStr">
        <is>
          <t>Norn ARR</t>
        </is>
      </c>
      <c r="C14" s="20">
        <f>Assumptions!C26*Assumptions!C27*12</f>
        <v/>
      </c>
      <c r="D14" s="20">
        <f>Assumptions!D26*Assumptions!D27*12</f>
        <v/>
      </c>
      <c r="E14" s="20">
        <f>Assumptions!E26*Assumptions!E27*12</f>
        <v/>
      </c>
      <c r="F14" s="20">
        <f>Assumptions!F26*Assumptions!F27*12</f>
        <v/>
      </c>
      <c r="G14" s="20">
        <f>Assumptions!G26*Assumptions!G27*12</f>
        <v/>
      </c>
    </row>
    <row r="16">
      <c r="A16" s="12" t="inlineStr">
        <is>
          <t>Ratatosk (services)</t>
        </is>
      </c>
    </row>
    <row r="17">
      <c r="A17" s="14" t="inlineStr">
        <is>
          <t>Ratatosk revenue</t>
        </is>
      </c>
      <c r="C17" s="20">
        <f>Assumptions!C29*Assumptions!C30</f>
        <v/>
      </c>
      <c r="D17" s="20">
        <f>Assumptions!D29*Assumptions!D30</f>
        <v/>
      </c>
      <c r="E17" s="20">
        <f>Assumptions!E29*Assumptions!E30</f>
        <v/>
      </c>
      <c r="F17" s="20">
        <f>Assumptions!F29*Assumptions!F30</f>
        <v/>
      </c>
      <c r="G17" s="20">
        <f>Assumptions!G29*Assumptions!G30</f>
        <v/>
      </c>
    </row>
    <row r="19">
      <c r="A19" s="12" t="inlineStr">
        <is>
          <t>Ragnarok (services)</t>
        </is>
      </c>
    </row>
    <row r="20">
      <c r="A20" s="14" t="inlineStr">
        <is>
          <t>Ragnarok revenue</t>
        </is>
      </c>
      <c r="C20" s="20">
        <f>Assumptions!C32*Assumptions!C33</f>
        <v/>
      </c>
      <c r="D20" s="20">
        <f>Assumptions!D32*Assumptions!D33</f>
        <v/>
      </c>
      <c r="E20" s="20">
        <f>Assumptions!E32*Assumptions!E33</f>
        <v/>
      </c>
      <c r="F20" s="20">
        <f>Assumptions!F32*Assumptions!F33</f>
        <v/>
      </c>
      <c r="G20" s="20">
        <f>Assumptions!G32*Assumptions!G33</f>
        <v/>
      </c>
    </row>
    <row r="22">
      <c r="A22" s="12" t="inlineStr">
        <is>
          <t>Bifrost (SaaS)</t>
        </is>
      </c>
    </row>
    <row r="23">
      <c r="A23" s="14" t="inlineStr">
        <is>
          <t>Bifrost ARR</t>
        </is>
      </c>
      <c r="C23" s="20">
        <f>Assumptions!C35*Assumptions!C36*12</f>
        <v/>
      </c>
      <c r="D23" s="20">
        <f>Assumptions!D35*Assumptions!D36*12</f>
        <v/>
      </c>
      <c r="E23" s="20">
        <f>Assumptions!E35*Assumptions!E36*12</f>
        <v/>
      </c>
      <c r="F23" s="20">
        <f>Assumptions!F35*Assumptions!F36*12</f>
        <v/>
      </c>
      <c r="G23" s="20">
        <f>Assumptions!G35*Assumptions!G36*12</f>
        <v/>
      </c>
    </row>
    <row r="25">
      <c r="A25" s="12" t="inlineStr">
        <is>
          <t>Consolidated</t>
        </is>
      </c>
    </row>
    <row r="26">
      <c r="A26" s="21" t="inlineStr">
        <is>
          <t>Total revenue</t>
        </is>
      </c>
      <c r="C26" s="22">
        <f>C11+C14+C17+C20+C23</f>
        <v/>
      </c>
      <c r="D26" s="22">
        <f>D11+D14+D17+D20+D23</f>
        <v/>
      </c>
      <c r="E26" s="22">
        <f>E11+E14+E17+E20+E23</f>
        <v/>
      </c>
      <c r="F26" s="22">
        <f>F11+F14+F17+F20+F23</f>
        <v/>
      </c>
      <c r="G26" s="22">
        <f>G11+G14+G17+G20+G23</f>
        <v/>
      </c>
    </row>
    <row r="27">
      <c r="A27" s="14" t="inlineStr">
        <is>
          <t>Recurring ARR (EOY: Norn+Bifrost+Ygg sub+AA)</t>
        </is>
      </c>
      <c r="C27" s="20">
        <f>C14+C23+C6+C10</f>
        <v/>
      </c>
      <c r="D27" s="20">
        <f>D14+D23+D6+D10</f>
        <v/>
      </c>
      <c r="E27" s="20">
        <f>E14+E23+E6+E10</f>
        <v/>
      </c>
      <c r="F27" s="20">
        <f>F14+F23+F6+F10</f>
        <v/>
      </c>
      <c r="G27" s="20">
        <f>G14+G23+G6+G10</f>
        <v/>
      </c>
    </row>
    <row r="28">
      <c r="A28" s="23" t="inlineStr">
        <is>
          <t>Recurring % of revenue</t>
        </is>
      </c>
      <c r="C28" s="24">
        <f>(C14+C23+C7+C10)/C26</f>
        <v/>
      </c>
      <c r="D28" s="24">
        <f>(D14+D23+D7+D10)/D26</f>
        <v/>
      </c>
      <c r="E28" s="24">
        <f>(E14+E23+E7+E10)/E26</f>
        <v/>
      </c>
      <c r="F28" s="24">
        <f>(F14+F23+F7+F10)/F26</f>
        <v/>
      </c>
      <c r="G28" s="24">
        <f>(G14+G23+G7+G10)/G26</f>
        <v/>
      </c>
    </row>
  </sheetData>
  <mergeCells count="8">
    <mergeCell ref="A13:G13"/>
    <mergeCell ref="A2:H2"/>
    <mergeCell ref="A22:G22"/>
    <mergeCell ref="A25:G25"/>
    <mergeCell ref="A16:G16"/>
    <mergeCell ref="A1:H1"/>
    <mergeCell ref="A19:G19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4" customHeight="1">
      <c r="A1" s="8" t="inlineStr">
        <is>
          <t>Operating Expenses</t>
        </is>
      </c>
    </row>
    <row r="2">
      <c r="A2" s="9" t="inlineStr">
        <is>
          <t>Opex-based model: delivery labor sits in payroll (lean, AI-augmented team). Drivers on the Assumptions tab.</t>
        </is>
      </c>
    </row>
    <row r="4">
      <c r="A4" s="10" t="n"/>
      <c r="B4" s="10" t="n"/>
      <c r="C4" s="11" t="inlineStr">
        <is>
          <t>Year 1</t>
        </is>
      </c>
      <c r="D4" s="11" t="inlineStr">
        <is>
          <t>Year 2</t>
        </is>
      </c>
      <c r="E4" s="11" t="inlineStr">
        <is>
          <t>Year 3</t>
        </is>
      </c>
      <c r="F4" s="11" t="inlineStr">
        <is>
          <t>Year 4</t>
        </is>
      </c>
      <c r="G4" s="11" t="inlineStr">
        <is>
          <t>Year 5</t>
        </is>
      </c>
    </row>
    <row r="5">
      <c r="A5" s="25" t="inlineStr">
        <is>
          <t>Team size (FTE)</t>
        </is>
      </c>
      <c r="C5" s="26">
        <f>Assumptions!C38</f>
        <v/>
      </c>
      <c r="D5" s="26">
        <f>Assumptions!D38</f>
        <v/>
      </c>
      <c r="E5" s="26">
        <f>Assumptions!E38</f>
        <v/>
      </c>
      <c r="F5" s="26">
        <f>Assumptions!F38</f>
        <v/>
      </c>
      <c r="G5" s="26">
        <f>Assumptions!G38</f>
        <v/>
      </c>
    </row>
    <row r="6">
      <c r="A6" s="14" t="inlineStr">
        <is>
          <t>Payroll + benefits</t>
        </is>
      </c>
      <c r="C6" s="20">
        <f>Assumptions!C39</f>
        <v/>
      </c>
      <c r="D6" s="20">
        <f>Assumptions!D39</f>
        <v/>
      </c>
      <c r="E6" s="20">
        <f>Assumptions!E39</f>
        <v/>
      </c>
      <c r="F6" s="20">
        <f>Assumptions!F39</f>
        <v/>
      </c>
      <c r="G6" s="20">
        <f>Assumptions!G39</f>
        <v/>
      </c>
    </row>
    <row r="7">
      <c r="A7" s="14" t="inlineStr">
        <is>
          <t>Founder draw</t>
        </is>
      </c>
      <c r="C7" s="20">
        <f>Assumptions!C40</f>
        <v/>
      </c>
      <c r="D7" s="20">
        <f>Assumptions!D40</f>
        <v/>
      </c>
      <c r="E7" s="20">
        <f>Assumptions!E40</f>
        <v/>
      </c>
      <c r="F7" s="20">
        <f>Assumptions!F40</f>
        <v/>
      </c>
      <c r="G7" s="20">
        <f>Assumptions!G40</f>
        <v/>
      </c>
    </row>
    <row r="8">
      <c r="A8" s="14" t="inlineStr">
        <is>
          <t>Infrastructure</t>
        </is>
      </c>
      <c r="C8" s="20">
        <f>Assumptions!C41</f>
        <v/>
      </c>
      <c r="D8" s="20">
        <f>Assumptions!D41</f>
        <v/>
      </c>
      <c r="E8" s="20">
        <f>Assumptions!E41</f>
        <v/>
      </c>
      <c r="F8" s="20">
        <f>Assumptions!F41</f>
        <v/>
      </c>
      <c r="G8" s="20">
        <f>Assumptions!G41</f>
        <v/>
      </c>
    </row>
    <row r="9">
      <c r="A9" s="14" t="inlineStr">
        <is>
          <t>Sales &amp; marketing</t>
        </is>
      </c>
      <c r="C9" s="20">
        <f>Assumptions!C42</f>
        <v/>
      </c>
      <c r="D9" s="20">
        <f>Assumptions!D42</f>
        <v/>
      </c>
      <c r="E9" s="20">
        <f>Assumptions!E42</f>
        <v/>
      </c>
      <c r="F9" s="20">
        <f>Assumptions!F42</f>
        <v/>
      </c>
      <c r="G9" s="20">
        <f>Assumptions!G42</f>
        <v/>
      </c>
    </row>
    <row r="10">
      <c r="A10" s="14" t="inlineStr">
        <is>
          <t>Legal &amp; accounting</t>
        </is>
      </c>
      <c r="C10" s="20">
        <f>Assumptions!C43</f>
        <v/>
      </c>
      <c r="D10" s="20">
        <f>Assumptions!D43</f>
        <v/>
      </c>
      <c r="E10" s="20">
        <f>Assumptions!E43</f>
        <v/>
      </c>
      <c r="F10" s="20">
        <f>Assumptions!F43</f>
        <v/>
      </c>
      <c r="G10" s="20">
        <f>Assumptions!G43</f>
        <v/>
      </c>
    </row>
    <row r="11">
      <c r="A11" s="14" t="inlineStr">
        <is>
          <t>Insurance &amp; compliance</t>
        </is>
      </c>
      <c r="C11" s="20">
        <f>Assumptions!C44</f>
        <v/>
      </c>
      <c r="D11" s="20">
        <f>Assumptions!D44</f>
        <v/>
      </c>
      <c r="E11" s="20">
        <f>Assumptions!E44</f>
        <v/>
      </c>
      <c r="F11" s="20">
        <f>Assumptions!F44</f>
        <v/>
      </c>
      <c r="G11" s="20">
        <f>Assumptions!G44</f>
        <v/>
      </c>
    </row>
    <row r="12">
      <c r="A12" s="14" t="inlineStr">
        <is>
          <t>Travel</t>
        </is>
      </c>
      <c r="C12" s="20">
        <f>Assumptions!C45</f>
        <v/>
      </c>
      <c r="D12" s="20">
        <f>Assumptions!D45</f>
        <v/>
      </c>
      <c r="E12" s="20">
        <f>Assumptions!E45</f>
        <v/>
      </c>
      <c r="F12" s="20">
        <f>Assumptions!F45</f>
        <v/>
      </c>
      <c r="G12" s="20">
        <f>Assumptions!G45</f>
        <v/>
      </c>
    </row>
    <row r="13">
      <c r="A13" s="14" t="inlineStr">
        <is>
          <t>G&amp;A</t>
        </is>
      </c>
      <c r="C13" s="20">
        <f>Assumptions!C46</f>
        <v/>
      </c>
      <c r="D13" s="20">
        <f>Assumptions!D46</f>
        <v/>
      </c>
      <c r="E13" s="20">
        <f>Assumptions!E46</f>
        <v/>
      </c>
      <c r="F13" s="20">
        <f>Assumptions!F46</f>
        <v/>
      </c>
      <c r="G13" s="20">
        <f>Assumptions!G46</f>
        <v/>
      </c>
    </row>
    <row r="14">
      <c r="A14" s="21" t="inlineStr">
        <is>
          <t>Total operating expenses</t>
        </is>
      </c>
      <c r="C14" s="22">
        <f>SUM(C6:C13)</f>
        <v/>
      </c>
      <c r="D14" s="22">
        <f>SUM(D6:D13)</f>
        <v/>
      </c>
      <c r="E14" s="22">
        <f>SUM(E6:E13)</f>
        <v/>
      </c>
      <c r="F14" s="22">
        <f>SUM(F6:F13)</f>
        <v/>
      </c>
      <c r="G14" s="22">
        <f>SUM(G6:G13)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4" customHeight="1">
      <c r="A1" s="8" t="inlineStr">
        <is>
          <t>Income Statement (P&amp;L)</t>
        </is>
      </c>
    </row>
    <row r="2">
      <c r="A2" s="9" t="inlineStr">
        <is>
          <t>Five-year projection. Opex model (delivery in payroll). Pre-tax net income.</t>
        </is>
      </c>
    </row>
    <row r="4">
      <c r="A4" s="10" t="n"/>
      <c r="B4" s="10" t="n"/>
      <c r="C4" s="11" t="inlineStr">
        <is>
          <t>Year 1</t>
        </is>
      </c>
      <c r="D4" s="11" t="inlineStr">
        <is>
          <t>Year 2</t>
        </is>
      </c>
      <c r="E4" s="11" t="inlineStr">
        <is>
          <t>Year 3</t>
        </is>
      </c>
      <c r="F4" s="11" t="inlineStr">
        <is>
          <t>Year 4</t>
        </is>
      </c>
      <c r="G4" s="11" t="inlineStr">
        <is>
          <t>Year 5</t>
        </is>
      </c>
    </row>
    <row r="5">
      <c r="A5" s="25" t="inlineStr">
        <is>
          <t>Total revenue</t>
        </is>
      </c>
      <c r="C5" s="27">
        <f>Revenue!C26</f>
        <v/>
      </c>
      <c r="D5" s="27">
        <f>Revenue!D26</f>
        <v/>
      </c>
      <c r="E5" s="27">
        <f>Revenue!E26</f>
        <v/>
      </c>
      <c r="F5" s="27">
        <f>Revenue!F26</f>
        <v/>
      </c>
      <c r="G5" s="27">
        <f>Revenue!G26</f>
        <v/>
      </c>
    </row>
    <row r="6">
      <c r="A6" s="14" t="inlineStr">
        <is>
          <t>Operating expenses</t>
        </is>
      </c>
      <c r="C6" s="20">
        <f>-Expenses!C14</f>
        <v/>
      </c>
      <c r="D6" s="20">
        <f>-Expenses!D14</f>
        <v/>
      </c>
      <c r="E6" s="20">
        <f>-Expenses!E14</f>
        <v/>
      </c>
      <c r="F6" s="20">
        <f>-Expenses!F14</f>
        <v/>
      </c>
      <c r="G6" s="20">
        <f>-Expenses!G14</f>
        <v/>
      </c>
    </row>
    <row r="7">
      <c r="A7" s="21" t="inlineStr">
        <is>
          <t>Net income (pre-tax)</t>
        </is>
      </c>
      <c r="C7" s="22">
        <f>C5+C6</f>
        <v/>
      </c>
      <c r="D7" s="22">
        <f>D5+D6</f>
        <v/>
      </c>
      <c r="E7" s="22">
        <f>E5+E6</f>
        <v/>
      </c>
      <c r="F7" s="22">
        <f>F5+F6</f>
        <v/>
      </c>
      <c r="G7" s="22">
        <f>G5+G6</f>
        <v/>
      </c>
    </row>
    <row r="8">
      <c r="A8" s="23" t="inlineStr">
        <is>
          <t>Net margin</t>
        </is>
      </c>
      <c r="C8" s="24">
        <f>C7/C5</f>
        <v/>
      </c>
      <c r="D8" s="24">
        <f>D7/D5</f>
        <v/>
      </c>
      <c r="E8" s="24">
        <f>E7/E5</f>
        <v/>
      </c>
      <c r="F8" s="24">
        <f>F7/F5</f>
        <v/>
      </c>
      <c r="G8" s="24">
        <f>G7/G5</f>
        <v/>
      </c>
    </row>
    <row r="9">
      <c r="A9" s="23" t="inlineStr">
        <is>
          <t>Cumulative net income</t>
        </is>
      </c>
      <c r="C9" s="28">
        <f>C7</f>
        <v/>
      </c>
      <c r="D9" s="28">
        <f>C9+D7</f>
        <v/>
      </c>
      <c r="E9" s="28">
        <f>D9+E7</f>
        <v/>
      </c>
      <c r="F9" s="28">
        <f>E9+F7</f>
        <v/>
      </c>
      <c r="G9" s="28">
        <f>F9+G7</f>
        <v/>
      </c>
    </row>
    <row r="11">
      <c r="A11" s="7" t="inlineStr">
        <is>
          <t>Model reconciles to the canonical source docs (PROJECTIONS.md, COSTS.md). Non-Yggdrasil lines tie to the published projections; Yggdrasil rebuilt on current pricing ($100K + $17.5K x Footprint Score).</t>
        </is>
      </c>
    </row>
  </sheetData>
  <mergeCells count="3">
    <mergeCell ref="A11:G11"/>
    <mergeCell ref="A2:H2"/>
    <mergeCell ref="A1:H1"/>
  </mergeCells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4" customHeight="1">
      <c r="A1" s="8" t="inlineStr">
        <is>
          <t>Cash Flow &amp; Runway</t>
        </is>
      </c>
    </row>
    <row r="2">
      <c r="A2" s="9" t="inlineStr">
        <is>
          <t>Simplified: net income proxies operating cash flow. $800K raise closes in Year 1.</t>
        </is>
      </c>
    </row>
    <row r="4">
      <c r="A4" s="10" t="n"/>
      <c r="B4" s="10" t="n"/>
      <c r="C4" s="11" t="inlineStr">
        <is>
          <t>Year 1</t>
        </is>
      </c>
      <c r="D4" s="11" t="inlineStr">
        <is>
          <t>Year 2</t>
        </is>
      </c>
      <c r="E4" s="11" t="inlineStr">
        <is>
          <t>Year 3</t>
        </is>
      </c>
      <c r="F4" s="11" t="inlineStr">
        <is>
          <t>Year 4</t>
        </is>
      </c>
      <c r="G4" s="11" t="inlineStr">
        <is>
          <t>Year 5</t>
        </is>
      </c>
    </row>
    <row r="5">
      <c r="A5" s="14" t="inlineStr">
        <is>
          <t>Beginning cash</t>
        </is>
      </c>
      <c r="C5" s="20">
        <f>Assumptions!C48</f>
        <v/>
      </c>
      <c r="D5" s="20">
        <f>C8</f>
        <v/>
      </c>
      <c r="E5" s="20">
        <f>D8</f>
        <v/>
      </c>
      <c r="F5" s="20">
        <f>E8</f>
        <v/>
      </c>
      <c r="G5" s="20">
        <f>F8</f>
        <v/>
      </c>
    </row>
    <row r="6">
      <c r="A6" s="14" t="inlineStr">
        <is>
          <t>Capital raised (pre-seed)</t>
        </is>
      </c>
      <c r="C6" s="20">
        <f>Assumptions!C49</f>
        <v/>
      </c>
      <c r="D6" s="20" t="n">
        <v>0</v>
      </c>
      <c r="E6" s="20" t="n">
        <v>0</v>
      </c>
      <c r="F6" s="20" t="n">
        <v>0</v>
      </c>
      <c r="G6" s="20" t="n">
        <v>0</v>
      </c>
    </row>
    <row r="7">
      <c r="A7" s="14" t="inlineStr">
        <is>
          <t>Net income (from P&amp;L)</t>
        </is>
      </c>
      <c r="C7" s="20">
        <f>'P&amp;L'!C7</f>
        <v/>
      </c>
      <c r="D7" s="20">
        <f>'P&amp;L'!D7</f>
        <v/>
      </c>
      <c r="E7" s="20">
        <f>'P&amp;L'!E7</f>
        <v/>
      </c>
      <c r="F7" s="20">
        <f>'P&amp;L'!F7</f>
        <v/>
      </c>
      <c r="G7" s="20">
        <f>'P&amp;L'!G7</f>
        <v/>
      </c>
    </row>
    <row r="8">
      <c r="A8" s="21" t="inlineStr">
        <is>
          <t>Ending cash</t>
        </is>
      </c>
      <c r="C8" s="22">
        <f>C5+C6+C7</f>
        <v/>
      </c>
      <c r="D8" s="22">
        <f>D5+D6+D7</f>
        <v/>
      </c>
      <c r="E8" s="22">
        <f>E5+E6+E7</f>
        <v/>
      </c>
      <c r="F8" s="22">
        <f>F5+F6+F7</f>
        <v/>
      </c>
      <c r="G8" s="22">
        <f>G5+G6+G7</f>
        <v/>
      </c>
    </row>
    <row r="10">
      <c r="A10" s="7" t="inlineStr">
        <is>
          <t>The plan is cash-flow positive in Year 1 under canonical pricing; the pre-seed round is acceleration capital, not survival capital.</t>
        </is>
      </c>
    </row>
    <row r="11">
      <c r="A11" s="7" t="inlineStr">
        <is>
          <t>$850K is available at the start (cash + raise) against ~$1.3M Year-1 gross opex - the model funds hiring ahead of the revenue it assumes.</t>
        </is>
      </c>
    </row>
  </sheetData>
  <mergeCells count="4">
    <mergeCell ref="A11:G11"/>
    <mergeCell ref="A2:H2"/>
    <mergeCell ref="A10:G10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" customWidth="1" min="2" max="2"/>
    <col width="16" customWidth="1" min="3" max="3"/>
  </cols>
  <sheetData>
    <row r="1" ht="24" customHeight="1">
      <c r="A1" s="8" t="inlineStr">
        <is>
          <t>Cap Table &amp; Use of Funds</t>
        </is>
      </c>
    </row>
    <row r="2">
      <c r="A2" s="9" t="inlineStr">
        <is>
          <t>Pre-seed round. Pre-money set to preserve ~10% base equity at the $800K raise (see note).</t>
        </is>
      </c>
    </row>
    <row r="3"/>
    <row r="4">
      <c r="A4" s="12" t="inlineStr">
        <is>
          <t>Round terms</t>
        </is>
      </c>
    </row>
    <row r="5">
      <c r="A5" s="25" t="inlineStr">
        <is>
          <t>Pre-seed raise</t>
        </is>
      </c>
      <c r="C5" s="27">
        <f>Assumptions!C49</f>
        <v/>
      </c>
    </row>
    <row r="6">
      <c r="A6" s="14" t="inlineStr">
        <is>
          <t>Pre-money valuation</t>
        </is>
      </c>
      <c r="C6" s="20">
        <f>Assumptions!C50</f>
        <v/>
      </c>
    </row>
    <row r="7">
      <c r="A7" s="21" t="inlineStr">
        <is>
          <t>Post-money valuation</t>
        </is>
      </c>
      <c r="C7" s="29">
        <f>Assumptions!C50+Assumptions!C49</f>
        <v/>
      </c>
    </row>
    <row r="8">
      <c r="A8" s="25" t="inlineStr">
        <is>
          <t>Base equity issued</t>
        </is>
      </c>
      <c r="C8" s="30">
        <f>Assumptions!C49/(Assumptions!C50+Assumptions!C49)</f>
        <v/>
      </c>
    </row>
    <row r="9">
      <c r="A9" s="14" t="inlineStr">
        <is>
          <t>Founder ownership (base)</t>
        </is>
      </c>
      <c r="C9" s="24">
        <f>1-Assumptions!C49/(Assumptions!C50+Assumptions!C49)</f>
        <v/>
      </c>
    </row>
    <row r="10">
      <c r="A10" s="14" t="inlineStr">
        <is>
          <t>Performance warrants (max, portco-driven)</t>
        </is>
      </c>
      <c r="C10" s="24" t="n">
        <v>0.05</v>
      </c>
    </row>
    <row r="11">
      <c r="A11" s="14" t="inlineStr">
        <is>
          <t>Max total dilution (base + warrants)</t>
        </is>
      </c>
      <c r="C11" s="24">
        <f>Assumptions!C49/(Assumptions!C50+Assumptions!C49)+0.05</f>
        <v/>
      </c>
    </row>
    <row r="12"/>
    <row r="13">
      <c r="A13" s="12" t="inlineStr">
        <is>
          <t>Use of funds ($800K / ~18-month runway)</t>
        </is>
      </c>
    </row>
    <row r="14">
      <c r="A14" s="14" t="inlineStr">
        <is>
          <t>Founder compensation (18 mo)</t>
        </is>
      </c>
      <c r="C14" s="20" t="n">
        <v>165000</v>
      </c>
    </row>
    <row r="15">
      <c r="A15" s="14" t="inlineStr">
        <is>
          <t>Hire 1 - Sr. Backend Engineer (15 mo)</t>
        </is>
      </c>
      <c r="C15" s="20" t="n">
        <v>175000</v>
      </c>
    </row>
    <row r="16">
      <c r="A16" s="14" t="inlineStr">
        <is>
          <t>Hire 2 - Sr. Frontend Engineer (12 mo)</t>
        </is>
      </c>
      <c r="C16" s="20" t="n">
        <v>145000</v>
      </c>
    </row>
    <row r="17">
      <c r="A17" s="14" t="inlineStr">
        <is>
          <t>Hire 3 - Sales / BD Lead (base; commission from sales)</t>
        </is>
      </c>
      <c r="C17" s="20" t="n">
        <v>65000</v>
      </c>
    </row>
    <row r="18">
      <c r="A18" s="14" t="inlineStr">
        <is>
          <t>Infrastructure &amp; tooling</t>
        </is>
      </c>
      <c r="C18" s="20" t="n">
        <v>35000</v>
      </c>
    </row>
    <row r="19">
      <c r="A19" s="14" t="inlineStr">
        <is>
          <t>Legal, IP &amp; SOC 2 prep</t>
        </is>
      </c>
      <c r="C19" s="20" t="n">
        <v>30000</v>
      </c>
    </row>
    <row r="20">
      <c r="A20" s="14" t="inlineStr">
        <is>
          <t>SOC 2 Type I audit</t>
        </is>
      </c>
      <c r="C20" s="20" t="n">
        <v>25000</v>
      </c>
    </row>
    <row r="21">
      <c r="A21" s="14" t="inlineStr">
        <is>
          <t>Sales &amp; marketing (trade shows, content, travel)</t>
        </is>
      </c>
      <c r="C21" s="20" t="n">
        <v>70000</v>
      </c>
    </row>
    <row r="22">
      <c r="A22" s="14" t="inlineStr">
        <is>
          <t>Service delivery (Ratatosk/Ragnarok)</t>
        </is>
      </c>
      <c r="C22" s="20" t="n">
        <v>30000</v>
      </c>
    </row>
    <row r="23">
      <c r="A23" s="14" t="inlineStr">
        <is>
          <t>Operating reserve</t>
        </is>
      </c>
      <c r="C23" s="20" t="n">
        <v>60000</v>
      </c>
    </row>
    <row r="24">
      <c r="A24" s="21" t="inlineStr">
        <is>
          <t>Total</t>
        </is>
      </c>
      <c r="C24" s="22">
        <f>SUM(C14:C23)</f>
        <v/>
      </c>
    </row>
    <row r="25"/>
    <row r="26">
      <c r="A26" s="31" t="n"/>
    </row>
  </sheetData>
  <mergeCells count="5">
    <mergeCell ref="A13:C13"/>
    <mergeCell ref="A2:H2"/>
    <mergeCell ref="A1:H1"/>
    <mergeCell ref="A4:C4"/>
    <mergeCell ref="A26:C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4" customHeight="1">
      <c r="A1" s="8" t="inlineStr">
        <is>
          <t>Unit Economics &amp; Valuation</t>
        </is>
      </c>
    </row>
    <row r="2">
      <c r="A2" s="9" t="inlineStr">
        <is>
          <t>Reference metrics and Year-5 implied valuation range.</t>
        </is>
      </c>
    </row>
    <row r="4">
      <c r="A4" s="10" t="n"/>
      <c r="B4" s="10" t="n"/>
      <c r="C4" s="11" t="inlineStr">
        <is>
          <t>Year 1</t>
        </is>
      </c>
      <c r="D4" s="11" t="inlineStr">
        <is>
          <t>Year 2</t>
        </is>
      </c>
      <c r="E4" s="11" t="inlineStr">
        <is>
          <t>Year 3</t>
        </is>
      </c>
      <c r="F4" s="11" t="inlineStr">
        <is>
          <t>Year 4</t>
        </is>
      </c>
      <c r="G4" s="11" t="inlineStr">
        <is>
          <t>Year 5</t>
        </is>
      </c>
    </row>
    <row r="5">
      <c r="A5" s="14" t="inlineStr">
        <is>
          <t>Total revenue</t>
        </is>
      </c>
      <c r="C5" s="20">
        <f>Revenue!C26</f>
        <v/>
      </c>
      <c r="D5" s="20">
        <f>Revenue!D26</f>
        <v/>
      </c>
      <c r="E5" s="20">
        <f>Revenue!E26</f>
        <v/>
      </c>
      <c r="F5" s="20">
        <f>Revenue!F26</f>
        <v/>
      </c>
      <c r="G5" s="20">
        <f>Revenue!G26</f>
        <v/>
      </c>
    </row>
    <row r="6">
      <c r="A6" s="14" t="inlineStr">
        <is>
          <t>Recurring ARR (EOY)</t>
        </is>
      </c>
      <c r="C6" s="20">
        <f>Revenue!C27</f>
        <v/>
      </c>
      <c r="D6" s="20">
        <f>Revenue!D27</f>
        <v/>
      </c>
      <c r="E6" s="20">
        <f>Revenue!E27</f>
        <v/>
      </c>
      <c r="F6" s="20">
        <f>Revenue!F27</f>
        <v/>
      </c>
      <c r="G6" s="20">
        <f>Revenue!G27</f>
        <v/>
      </c>
    </row>
    <row r="7">
      <c r="A7" s="14" t="inlineStr">
        <is>
          <t>Recurring % of revenue</t>
        </is>
      </c>
      <c r="C7" s="24">
        <f>Revenue!C28</f>
        <v/>
      </c>
      <c r="D7" s="24">
        <f>Revenue!D28</f>
        <v/>
      </c>
      <c r="E7" s="24">
        <f>Revenue!E28</f>
        <v/>
      </c>
      <c r="F7" s="24">
        <f>Revenue!F28</f>
        <v/>
      </c>
      <c r="G7" s="24">
        <f>Revenue!G28</f>
        <v/>
      </c>
    </row>
    <row r="8">
      <c r="A8" s="14" t="inlineStr">
        <is>
          <t>Team size (FTE)</t>
        </is>
      </c>
      <c r="C8" s="32">
        <f>Expenses!C5</f>
        <v/>
      </c>
      <c r="D8" s="32">
        <f>Expenses!D5</f>
        <v/>
      </c>
      <c r="E8" s="32">
        <f>Expenses!E5</f>
        <v/>
      </c>
      <c r="F8" s="32">
        <f>Expenses!F5</f>
        <v/>
      </c>
      <c r="G8" s="32">
        <f>Expenses!G5</f>
        <v/>
      </c>
    </row>
    <row r="9">
      <c r="A9" s="14" t="inlineStr">
        <is>
          <t>Revenue per employee</t>
        </is>
      </c>
      <c r="C9" s="20">
        <f>Revenue!C26/Expenses!C5</f>
        <v/>
      </c>
      <c r="D9" s="20">
        <f>Revenue!D26/Expenses!D5</f>
        <v/>
      </c>
      <c r="E9" s="20">
        <f>Revenue!E26/Expenses!E5</f>
        <v/>
      </c>
      <c r="F9" s="20">
        <f>Revenue!F26/Expenses!F5</f>
        <v/>
      </c>
      <c r="G9" s="20">
        <f>Revenue!G26/Expenses!G5</f>
        <v/>
      </c>
    </row>
    <row r="11">
      <c r="A11" s="12" t="inlineStr">
        <is>
          <t>Year-5 implied valuation</t>
        </is>
      </c>
    </row>
    <row r="12">
      <c r="A12" s="25" t="inlineStr">
        <is>
          <t>Year-5 recurring ARR</t>
        </is>
      </c>
      <c r="C12" s="29">
        <f>Revenue!G27</f>
        <v/>
      </c>
    </row>
    <row r="13">
      <c r="A13" s="14" t="inlineStr">
        <is>
          <t>ARR multiple - low (5x)</t>
        </is>
      </c>
      <c r="C13" s="20">
        <f>Revenue!G27*5</f>
        <v/>
      </c>
    </row>
    <row r="14">
      <c r="A14" s="14" t="inlineStr">
        <is>
          <t>ARR multiple - high (8x)</t>
        </is>
      </c>
      <c r="C14" s="20">
        <f>Revenue!G27*8</f>
        <v/>
      </c>
    </row>
    <row r="15">
      <c r="A15" s="25" t="inlineStr">
        <is>
          <t>Year-5 revenue</t>
        </is>
      </c>
      <c r="C15" s="29">
        <f>Revenue!G26</f>
        <v/>
      </c>
    </row>
    <row r="16">
      <c r="A16" s="14" t="inlineStr">
        <is>
          <t>Revenue multiple - low (3x)</t>
        </is>
      </c>
      <c r="C16" s="20">
        <f>Revenue!G26*3</f>
        <v/>
      </c>
    </row>
    <row r="17">
      <c r="A17" s="14" t="inlineStr">
        <is>
          <t>Revenue multiple - high (5x)</t>
        </is>
      </c>
      <c r="C17" s="20">
        <f>Revenue!G26*5</f>
        <v/>
      </c>
    </row>
    <row r="19">
      <c r="A19" s="33" t="inlineStr">
        <is>
          <t>Conservative Year-5 valuation range (mid-market vertical SaaS ARR multiples): ~$100M - $160M.</t>
        </is>
      </c>
    </row>
  </sheetData>
  <mergeCells count="4">
    <mergeCell ref="A19:G19"/>
    <mergeCell ref="A11:G1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2026-07-15T12:15:38Z</dcterms:modified>
</cp:coreProperties>
</file>