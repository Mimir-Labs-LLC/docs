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72620605c94de0" /></Relationships>
</file>

<file path=xl/workbook.xml><?xml version="1.0" encoding="utf-8"?>
<x:workbook xmlns:x="http://schemas.openxmlformats.org/spreadsheetml/2006/main">
  <x:sheets>
    <x:sheet xmlns:r="http://schemas.openxmlformats.org/officeDocument/2006/relationships" name="README" sheetId="1" r:id="Rf40f6684e1e1459e"/>
    <x:sheet xmlns:r="http://schemas.openxmlformats.org/officeDocument/2006/relationships" name="Dashboard" sheetId="2" r:id="R6b88feaaef3f4ac6"/>
    <x:sheet xmlns:r="http://schemas.openxmlformats.org/officeDocument/2006/relationships" name="Targets" sheetId="3" r:id="Rc8b09496144a45d7"/>
    <x:sheet xmlns:r="http://schemas.openxmlformats.org/officeDocument/2006/relationships" name="Outreach Queue" sheetId="4" r:id="R282dd0399a6744b7"/>
    <x:sheet xmlns:r="http://schemas.openxmlformats.org/officeDocument/2006/relationships" name="Activity Log" sheetId="5" r:id="Rbbe73eadc6ad4aaa"/>
    <x:sheet xmlns:r="http://schemas.openxmlformats.org/officeDocument/2006/relationships" name="Opportunity Pipeline" sheetId="6" r:id="Rd62b6ecfade34878"/>
    <x:sheet xmlns:r="http://schemas.openxmlformats.org/officeDocument/2006/relationships" name="Message Library" sheetId="7" r:id="R2e8a4fe5df2d45cc"/>
    <x:sheet xmlns:r="http://schemas.openxmlformats.org/officeDocument/2006/relationships" name="Call Notes" sheetId="8" r:id="R1b6a8ba743e5495e"/>
    <x:sheet xmlns:r="http://schemas.openxmlformats.org/officeDocument/2006/relationships" name="Weekly Review" sheetId="9" r:id="R22964dd08651434c"/>
    <x:sheet xmlns:r="http://schemas.openxmlformats.org/officeDocument/2006/relationships" name="Dropdowns" sheetId="10" r:id="R1e4786e2a4c14a6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6">
    <x:font>
      <x:sz val="11"/>
      <x:name val="Carlito"/>
    </x:font>
    <x:font>
      <x:b/>
      <x:sz val="16"/>
      <x:color rgb="FFFFFF"/>
      <x:name val="Carlito"/>
    </x:font>
    <x:font>
      <x:i/>
      <x:sz val="10"/>
      <x:color rgb="111827"/>
      <x:name val="Carlito"/>
    </x:font>
    <x:font>
      <x:b/>
      <x:sz val="11"/>
      <x:color rgb="FFFFFF"/>
      <x:name val="Carlito"/>
    </x:font>
    <x:font>
      <x:b/>
      <x:sz val="11"/>
      <x:name val="Carlito"/>
    </x:font>
    <x:font>
      <x:b/>
      <x:sz val="16"/>
      <x:color rgb="111827"/>
      <x:name val="Carlito"/>
    </x:font>
  </x:fonts>
  <x:fills count="6">
    <x:fill>
      <x:patternFill patternType="none"/>
    </x:fill>
    <x:fill>
      <x:patternFill patternType="gray125"/>
    </x:fill>
    <x:fill>
      <x:patternFill patternType="solid">
        <x:fgColor rgb="0B1F33"/>
      </x:patternFill>
    </x:fill>
    <x:fill>
      <x:patternFill patternType="solid">
        <x:fgColor rgb="EAF3F8"/>
      </x:patternFill>
    </x:fill>
    <x:fill>
      <x:patternFill patternType="solid">
        <x:fgColor rgb="0F766E"/>
      </x:patternFill>
    </x:fill>
    <x:fill>
      <x:patternFill patternType="solid">
        <x:fgColor rgb="F3F4F6"/>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4" borderId="0" xfId="0" applyNumberFormat="1" applyFont="1" applyFill="1" applyBorder="1" applyAlignment="1">
      <x:alignment horizontal="left" vertical="center"/>
    </x:xf>
    <x:xf numFmtId="0" fontId="1" fillId="4" borderId="0" xfId="0" applyNumberFormat="1" applyFont="1" applyFill="1" applyBorder="1" applyAlignment="1">
      <x:alignment horizontal="center" vertical="center"/>
    </x:xf>
    <x:xf numFmtId="0" fontId="1" fillId="4" borderId="1" xfId="0" applyNumberFormat="1" applyFont="1" applyFill="1" applyBorder="1" applyAlignment="1">
      <x:alignment horizontal="left" vertical="center"/>
    </x:xf>
    <x:xf numFmtId="0" fontId="1"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x:xf numFmtId="0" fontId="4" fillId="0" borderId="1" xfId="0" applyNumberFormat="1" applyFont="1" applyFill="1" applyBorder="1" applyAlignment="1">
      <x:alignment horizontal="center"/>
    </x:xf>
    <x:xf numFmtId="202" fontId="0" fillId="0" borderId="0" xfId="0" applyNumberFormat="1" applyFont="1" applyFill="1" applyBorder="1"/>
    <x:xf numFmtId="202" fontId="0" fillId="0" borderId="1" xfId="0" applyNumberFormat="1" applyFont="1" applyFill="1" applyBorder="1"/>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1" fillId="2" borderId="1" xfId="0" applyNumberFormat="1" applyFont="1" applyFill="1" applyBorder="1" applyAlignment="1">
      <x:alignment horizontal="center"/>
    </x:xf>
    <x:xf numFmtId="0" fontId="5" fillId="2" borderId="0" xfId="0" applyNumberFormat="1" applyFont="1" applyFill="1" applyBorder="1" applyAlignment="1">
      <x:alignment horizontal="left" vertical="center"/>
    </x:xf>
    <x:xf numFmtId="0" fontId="5" fillId="2" borderId="1" xfId="0" applyNumberFormat="1" applyFont="1" applyFill="1" applyBorder="1" applyAlignment="1">
      <x:alignment horizontal="left" vertical="center"/>
    </x:xf>
  </x:cellXfs>
  <x:cellStyles count="1">
    <x:cellStyle name="Normal" xfId="0"/>
  </x:cellStyles>
  <x:dxfs count="7">
    <x:dxf>
      <x:fill>
        <x:patternFill patternType="solid">
          <x:bgColor rgb="DCFCE7"/>
        </x:patternFill>
      </x:fill>
    </x:dxf>
    <x:dxf>
      <x:fill>
        <x:patternFill patternType="solid">
          <x:bgColor rgb="FEE2E2"/>
        </x:patternFill>
      </x:fill>
    </x:dxf>
    <x:dxf>
      <x:fill>
        <x:patternFill patternType="solid">
          <x:bgColor rgb="D9F0ED"/>
        </x:patternFill>
      </x:fill>
    </x:dxf>
    <x:dxf>
      <x:fill>
        <x:patternFill patternType="solid">
          <x:bgColor rgb="FEF3C7"/>
        </x:patternFill>
      </x:fill>
    </x:dxf>
    <x:dxf>
      <x:fill>
        <x:patternFill patternType="solid">
          <x:bgColor rgb="DCFCE7"/>
        </x:patternFill>
      </x:fill>
    </x:dxf>
    <x:dxf>
      <x:fill>
        <x:patternFill patternType="solid">
          <x:bgColor rgb="FEE2E2"/>
        </x:patternFill>
      </x:fill>
    </x:dxf>
    <x:dxf>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3eac385cff43d0" /><Relationship Type="http://schemas.openxmlformats.org/officeDocument/2006/relationships/theme" Target="/xl/theme/theme1.xml" Id="R177333a0a22f4bd3" /><Relationship Type="http://schemas.openxmlformats.org/officeDocument/2006/relationships/sharedStrings" Target="/xl/sharedStrings.xml" Id="R666d412ec9934797" /><Relationship Type="http://schemas.openxmlformats.org/officeDocument/2006/relationships/worksheet" Target="/xl/worksheets/sheet1.xml" Id="Rf40f6684e1e1459e" /><Relationship Type="http://schemas.openxmlformats.org/officeDocument/2006/relationships/worksheet" Target="/xl/worksheets/sheet2.xml" Id="R6b88feaaef3f4ac6" /><Relationship Type="http://schemas.openxmlformats.org/officeDocument/2006/relationships/worksheet" Target="/xl/worksheets/sheet3.xml" Id="Rc8b09496144a45d7" /><Relationship Type="http://schemas.openxmlformats.org/officeDocument/2006/relationships/worksheet" Target="/xl/worksheets/sheet4.xml" Id="R282dd0399a6744b7" /><Relationship Type="http://schemas.openxmlformats.org/officeDocument/2006/relationships/worksheet" Target="/xl/worksheets/sheet5.xml" Id="Rbbe73eadc6ad4aaa" /><Relationship Type="http://schemas.openxmlformats.org/officeDocument/2006/relationships/worksheet" Target="/xl/worksheets/sheet6.xml" Id="Rd62b6ecfade34878" /><Relationship Type="http://schemas.openxmlformats.org/officeDocument/2006/relationships/worksheet" Target="/xl/worksheets/sheet7.xml" Id="R2e8a4fe5df2d45cc" /><Relationship Type="http://schemas.openxmlformats.org/officeDocument/2006/relationships/worksheet" Target="/xl/worksheets/sheet8.xml" Id="R1b6a8ba743e5495e" /><Relationship Type="http://schemas.openxmlformats.org/officeDocument/2006/relationships/worksheet" Target="/xl/worksheets/sheet9.xml" Id="R22964dd08651434c" /><Relationship Type="http://schemas.openxmlformats.org/officeDocument/2006/relationships/worksheet" Target="/xl/worksheets/sheet10.xml" Id="R1e4786e2a4c14a6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952e91aa5c4b3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Targets by Status</a:t>
            </a:r>
          </a:p>
        </c:rich>
      </c:tx>
      <c:overlay val="0"/>
    </c:title>
    <c:autoTitleDeleted val="0"/>
    <c:plotArea>
      <c:layout/>
      <c:barChart>
        <c:barDir val="col"/>
        <c:varyColors val="0"/>
        <c:ser>
          <c:idx val="0"/>
          <c:order val="0"/>
          <c:tx>
            <c:v>Series 1</c:v>
          </c:tx>
          <c:cat>
            <c:strRef>
              <c:f>'Dashboard'!$A$16:$A$25</c:f>
              <c:strCache>
                <c:ptCount val="0"/>
              </c:strCache>
            </c:strRef>
          </c:cat>
          <c:val>
            <c:numRef>
              <c:f>'Dashboard'!$B$16:$B$25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952e91aa5c4b3c"/>
        </a:graphicData>
      </a:graphic>
    </xdr:graphicFrame>
    <xdr:clientData/>
  </xdr:twoCellAnchor>
</xdr:wsDr>
</file>

<file path=xl/tables/table1.xml><?xml version="1.0" encoding="utf-8"?>
<x:table xmlns:x="http://schemas.openxmlformats.org/spreadsheetml/2006/main" id="1" name="TargetsTable" displayName="TargetsTable" ref="A4:U504" headerRowCount="1">
  <x:tableColumns count="21">
    <x:tableColumn id="1" name="Target ID"/>
    <x:tableColumn id="2" name="Date Added"/>
    <x:tableColumn id="3" name="Lane"/>
    <x:tableColumn id="4" name="Name"/>
    <x:tableColumn id="5" name="Organization"/>
    <x:tableColumn id="6" name="Role/Title"/>
    <x:tableColumn id="7" name="LinkedIn URL"/>
    <x:tableColumn id="8" name="Email"/>
    <x:tableColumn id="9" name="Fit Reason"/>
    <x:tableColumn id="10" name="Pain Hypothesis"/>
    <x:tableColumn id="11" name="Best Hook"/>
    <x:tableColumn id="12" name="Priority"/>
    <x:tableColumn id="13" name="Status"/>
    <x:tableColumn id="14" name="Last Touch"/>
    <x:tableColumn id="15" name="Next Touch"/>
    <x:tableColumn id="16" name="Channel"/>
    <x:tableColumn id="17" name="Message Version"/>
    <x:tableColumn id="18" name="Reply/Objection"/>
    <x:tableColumn id="19" name="Next Action"/>
    <x:tableColumn id="20" name="Owner"/>
    <x:tableColumn id="21" name="Notes"/>
  </x:tableColumns>
  <x:tableStyleInfo name="TableStyleMedium2" showRowStripes="1"/>
</x:table>
</file>

<file path=xl/tables/table2.xml><?xml version="1.0" encoding="utf-8"?>
<x:table xmlns:x="http://schemas.openxmlformats.org/spreadsheetml/2006/main" id="2" name="OutreachQueueTable" displayName="OutreachQueueTable" ref="A4:R204" headerRowCount="1">
  <x:tableColumns count="18">
    <x:tableColumn id="1" name="Batch Week"/>
    <x:tableColumn id="2" name="Send By"/>
    <x:tableColumn id="3" name="Target ID"/>
    <x:tableColumn id="4" name="Lane"/>
    <x:tableColumn id="5" name="Name"/>
    <x:tableColumn id="6" name="Organization"/>
    <x:tableColumn id="7" name="Role"/>
    <x:tableColumn id="8" name="Channel"/>
    <x:tableColumn id="9" name="Priority"/>
    <x:tableColumn id="10" name="Template"/>
    <x:tableColumn id="11" name="Custom Hook"/>
    <x:tableColumn id="12" name="Message Draft"/>
    <x:tableColumn id="13" name="Status"/>
    <x:tableColumn id="14" name="Sent?"/>
    <x:tableColumn id="15" name="Sent Date"/>
    <x:tableColumn id="16" name="Follow-Up Date"/>
    <x:tableColumn id="17" name="Next Action"/>
    <x:tableColumn id="18" name="Notes"/>
  </x:tableColumns>
  <x:tableStyleInfo name="TableStyleMedium2" showRowStripes="1"/>
</x:table>
</file>

<file path=xl/tables/table3.xml><?xml version="1.0" encoding="utf-8"?>
<x:table xmlns:x="http://schemas.openxmlformats.org/spreadsheetml/2006/main" id="3" name="ActivityLogTable" displayName="ActivityLogTable" ref="A4:M1004" headerRowCount="1">
  <x:tableColumns count="13">
    <x:tableColumn id="1" name="Date"/>
    <x:tableColumn id="2" name="Target ID"/>
    <x:tableColumn id="3" name="Name"/>
    <x:tableColumn id="4" name="Organization"/>
    <x:tableColumn id="5" name="Lane"/>
    <x:tableColumn id="6" name="Channel"/>
    <x:tableColumn id="7" name="Touch Type"/>
    <x:tableColumn id="8" name="Message Version"/>
    <x:tableColumn id="9" name="Outcome"/>
    <x:tableColumn id="10" name="Next Action"/>
    <x:tableColumn id="11" name="Follow-Up Date"/>
    <x:tableColumn id="12" name="Owner"/>
    <x:tableColumn id="13" name="Notes"/>
  </x:tableColumns>
  <x:tableStyleInfo name="TableStyleMedium2" showRowStripes="1"/>
</x:table>
</file>

<file path=xl/tables/table4.xml><?xml version="1.0" encoding="utf-8"?>
<x:table xmlns:x="http://schemas.openxmlformats.org/spreadsheetml/2006/main" id="4" name="OpportunityPipelineTable" displayName="OpportunityPipelineTable" ref="A4:N304" headerRowCount="1">
  <x:tableColumns count="14">
    <x:tableColumn id="1" name="Opp ID"/>
    <x:tableColumn id="2" name="Created"/>
    <x:tableColumn id="3" name="Target ID"/>
    <x:tableColumn id="4" name="Organization"/>
    <x:tableColumn id="5" name="Primary Contact"/>
    <x:tableColumn id="6" name="Lane"/>
    <x:tableColumn id="7" name="Offer Type"/>
    <x:tableColumn id="8" name="Stage"/>
    <x:tableColumn id="9" name="Est. Value"/>
    <x:tableColumn id="10" name="Probability"/>
    <x:tableColumn id="11" name="Weighted Value"/>
    <x:tableColumn id="12" name="Next Step"/>
    <x:tableColumn id="13" name="Next Date"/>
    <x:tableColumn id="14" name="Notes"/>
  </x:tableColumns>
  <x:tableStyleInfo name="TableStyleMedium2" showRowStripes="1"/>
</x:table>
</file>

<file path=xl/tables/table5.xml><?xml version="1.0" encoding="utf-8"?>
<x:table xmlns:x="http://schemas.openxmlformats.org/spreadsheetml/2006/main" id="5" name="MessageLibraryTable" displayName="MessageLibraryTable" ref="A4:H8" headerRowCount="1">
  <x:tableColumns count="8">
    <x:tableColumn id="1" name="Message Version"/>
    <x:tableColumn id="2" name="Lane"/>
    <x:tableColumn id="3" name="Scenario"/>
    <x:tableColumn id="4" name="Channel"/>
    <x:tableColumn id="5" name="Subject / Opening"/>
    <x:tableColumn id="6" name="Message Body"/>
    <x:tableColumn id="7" name="Follow-Up 1"/>
    <x:tableColumn id="8" name="Follow-Up 2"/>
  </x:tableColumns>
  <x:tableStyleInfo name="TableStyleMedium2" showRowStripes="1"/>
</x:table>
</file>

<file path=xl/tables/table6.xml><?xml version="1.0" encoding="utf-8"?>
<x:table xmlns:x="http://schemas.openxmlformats.org/spreadsheetml/2006/main" id="6" name="CallNotesTable" displayName="CallNotesTable" ref="A4:O304" headerRowCount="1">
  <x:tableColumns count="15">
    <x:tableColumn id="1" name="Date"/>
    <x:tableColumn id="2" name="Target ID"/>
    <x:tableColumn id="3" name="Name/Org"/>
    <x:tableColumn id="4" name="Lane"/>
    <x:tableColumn id="5" name="Participants"/>
    <x:tableColumn id="6" name="Pain Confirmed"/>
    <x:tableColumn id="7" name="Budget/Authority"/>
    <x:tableColumn id="8" name="Current Systems"/>
    <x:tableColumn id="9" name="Trigger Event"/>
    <x:tableColumn id="10" name="Qualification Score"/>
    <x:tableColumn id="11" name="Next Step"/>
    <x:tableColumn id="12" name="Next Date"/>
    <x:tableColumn id="13" name="Risks/Objections"/>
    <x:tableColumn id="14" name="Summary"/>
    <x:tableColumn id="15" name="Call Outcome"/>
  </x:tableColumns>
  <x:tableStyleInfo name="TableStyleMedium2" showRowStripes="1"/>
</x:table>
</file>

<file path=xl/tables/table7.xml><?xml version="1.0" encoding="utf-8"?>
<x:table xmlns:x="http://schemas.openxmlformats.org/spreadsheetml/2006/main" id="7" name="WeeklyReviewTable" displayName="WeeklyReviewTable" ref="A4:L104" headerRowCount="1">
  <x:tableColumns count="12">
    <x:tableColumn id="1" name="Week Of"/>
    <x:tableColumn id="2" name="New Targets"/>
    <x:tableColumn id="3" name="Outreach Sent"/>
    <x:tableColumn id="4" name="Replies"/>
    <x:tableColumn id="5" name="Calls Booked"/>
    <x:tableColumn id="6" name="Opportunities"/>
    <x:tableColumn id="7" name="Closed Paid"/>
    <x:tableColumn id="8" name="Best Lane"/>
    <x:tableColumn id="9" name="Best Hook"/>
    <x:tableColumn id="10" name="Repeated Objection"/>
    <x:tableColumn id="11" name="Messaging Adjustment"/>
    <x:tableColumn id="12" name="Next Week Foc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1c6e1a14d16450c" /></Relationships>
</file>

<file path=xl/worksheets/_rels/sheet3.xml.rels>&#65279;<?xml version="1.0" encoding="utf-8"?><Relationships xmlns="http://schemas.openxmlformats.org/package/2006/relationships"><Relationship Type="http://schemas.openxmlformats.org/officeDocument/2006/relationships/table" Target="/xl/tables/table1.xml" Id="R3a1495c53c874697" /></Relationships>
</file>

<file path=xl/worksheets/_rels/sheet4.xml.rels>&#65279;<?xml version="1.0" encoding="utf-8"?><Relationships xmlns="http://schemas.openxmlformats.org/package/2006/relationships"><Relationship Type="http://schemas.openxmlformats.org/officeDocument/2006/relationships/table" Target="/xl/tables/table2.xml" Id="R00c1d520b75047d6" /></Relationships>
</file>

<file path=xl/worksheets/_rels/sheet5.xml.rels>&#65279;<?xml version="1.0" encoding="utf-8"?><Relationships xmlns="http://schemas.openxmlformats.org/package/2006/relationships"><Relationship Type="http://schemas.openxmlformats.org/officeDocument/2006/relationships/table" Target="/xl/tables/table3.xml" Id="Rd6c8ac6c6289491d" /></Relationships>
</file>

<file path=xl/worksheets/_rels/sheet6.xml.rels>&#65279;<?xml version="1.0" encoding="utf-8"?><Relationships xmlns="http://schemas.openxmlformats.org/package/2006/relationships"><Relationship Type="http://schemas.openxmlformats.org/officeDocument/2006/relationships/table" Target="/xl/tables/table4.xml" Id="R6b4a205807614b6d" /></Relationships>
</file>

<file path=xl/worksheets/_rels/sheet7.xml.rels>&#65279;<?xml version="1.0" encoding="utf-8"?><Relationships xmlns="http://schemas.openxmlformats.org/package/2006/relationships"><Relationship Type="http://schemas.openxmlformats.org/officeDocument/2006/relationships/table" Target="/xl/tables/table5.xml" Id="R637f45ba615a4296" /></Relationships>
</file>

<file path=xl/worksheets/_rels/sheet8.xml.rels>&#65279;<?xml version="1.0" encoding="utf-8"?><Relationships xmlns="http://schemas.openxmlformats.org/package/2006/relationships"><Relationship Type="http://schemas.openxmlformats.org/officeDocument/2006/relationships/table" Target="/xl/tables/table6.xml" Id="Reb27fa00a3564a8b" /></Relationships>
</file>

<file path=xl/worksheets/_rels/sheet9.xml.rels>&#65279;<?xml version="1.0" encoding="utf-8"?><Relationships xmlns="http://schemas.openxmlformats.org/package/2006/relationships"><Relationship Type="http://schemas.openxmlformats.org/officeDocument/2006/relationships/table" Target="/xl/tables/table7.xml" Id="R1a9b4320f88448f1" /></Relationships>
</file>

<file path=xl/worksheets/sheet1.xml><?xml version="1.0" encoding="utf-8"?>
<x:worksheet xmlns:x="http://schemas.openxmlformats.org/spreadsheetml/2006/main">
  <x:sheetFormatPr defaultRowHeight="15"/>
  <x:cols>
    <x:col min="1" max="1" width="18" hidden="0" customWidth="1"/>
    <x:col min="2" max="2" width="95" hidden="0" customWidth="1"/>
  </x:cols>
  <x:sheetData>
    <x:row r="1" ht="30" hidden="0" customHeight="1">
      <x:c r="A1" s="5" t="str">
        <x:v>Mimir Labs Outreach Command Center</x:v>
      </x:c>
      <x:c r="B1" s="5"/>
      <x:c r="C1" s="5"/>
      <x:c r="D1" s="5"/>
      <x:c r="E1" s="5"/>
      <x:c r="F1" s="5"/>
      <x:c r="G1" s="5"/>
      <x:c r="H1" s="5"/>
    </x:row>
    <x:row r="2" ht="38" hidden="0" customHeight="1">
      <x:c r="A2" s="13" t="str">
        <x:v>Purpose: operate focused outreach for pilots, partners, strategic/funding conversations, and acquisition-path conversations.</x:v>
      </x:c>
      <x:c r="B2" s="13"/>
      <x:c r="C2" s="13"/>
      <x:c r="D2" s="13"/>
      <x:c r="E2" s="13"/>
      <x:c r="F2" s="13"/>
      <x:c r="G2" s="13"/>
      <x:c r="H2" s="13"/>
    </x:row>
    <x:row r="3"/>
    <x:row r="4" ht="26.399999618530273" hidden="0" customHeight="1">
      <x:c r="A4" s="22" t="str">
        <x:v>How to use this workbook</x:v>
      </x:c>
      <x:c r="B4" s="22" t="str"/>
    </x:row>
    <x:row r="5" ht="26.399999618530273" hidden="0" customHeight="1">
      <x:c r="A5" s="30" t="str">
        <x:v>1</x:v>
      </x:c>
      <x:c r="B5" s="34" t="str">
        <x:v>Add every prospect to Targets. Complete Lane, Fit Reason, Pain Hypothesis, Best Hook, Priority, Status, and Next Action before outreach.</x:v>
      </x:c>
    </x:row>
    <x:row r="6" ht="15" hidden="0" customHeight="1">
      <x:c r="A6" s="30" t="str">
        <x:v>2</x:v>
      </x:c>
      <x:c r="B6" s="34" t="str">
        <x:v>Move this week’s active prospects into Outreach Queue. Keep the batch small enough to personalize.</x:v>
      </x:c>
    </x:row>
    <x:row r="7" ht="15" hidden="0" customHeight="1">
      <x:c r="A7" s="30" t="str">
        <x:v>3</x:v>
      </x:c>
      <x:c r="B7" s="34" t="str">
        <x:v>Use Message Library for copy blocks. Customize the hook before sending.</x:v>
      </x:c>
    </x:row>
    <x:row r="8" ht="15" hidden="0" customHeight="1">
      <x:c r="A8" s="30" t="str">
        <x:v>4</x:v>
      </x:c>
      <x:c r="B8" s="34" t="str">
        <x:v>Log every touch in Activity Log the same day it happens.</x:v>
      </x:c>
    </x:row>
    <x:row r="9" ht="15" hidden="0" customHeight="1">
      <x:c r="A9" s="30" t="str">
        <x:v>5</x:v>
      </x:c>
      <x:c r="B9" s="34" t="str">
        <x:v>Update Targets after replies. Convert interest into a call; do not let vague encouragement sit unqualified.</x:v>
      </x:c>
    </x:row>
    <x:row r="10" ht="26.399999618530273" hidden="0" customHeight="1">
      <x:c r="A10" s="30" t="str">
        <x:v>6</x:v>
      </x:c>
      <x:c r="B10" s="34" t="str">
        <x:v>Track scoped opportunities in Opportunity Pipeline once there is a real next step, budget path, partner path, strategic review, or pilot possibility.</x:v>
      </x:c>
    </x:row>
    <x:row r="11" ht="15" hidden="0" customHeight="1">
      <x:c r="A11" s="30" t="str">
        <x:v>7</x:v>
      </x:c>
      <x:c r="B11" s="34" t="str">
        <x:v>Use Weekly Review every Friday to inspect what worked, what failed, and which targets deserve follow-up.</x:v>
      </x:c>
    </x:row>
    <x:row r="12" ht="15" hidden="0" customHeight="1">
      <x:c r="A12" s="30" t="str">
        <x:v>Core rule</x:v>
      </x:c>
      <x:c r="B12" s="34" t="str">
        <x:v>Every meaningful interaction becomes one of four things: target, follow-up, intro ask, or disqualification.</x:v>
      </x:c>
    </x:row>
    <x:row r="13" ht="26.399999618530273" hidden="0" customHeight="1">
      <x:c r="A13" s="30" t="str">
        <x:v>Lanes</x:v>
      </x:c>
      <x:c r="B13" s="34" t="str">
        <x:v>Pilot = operators. Partner = consultants/SIs/advisors. Strategic/Funder = investors/corporate venture. Acquirer/Acqui-hire = corp strategy/product/M&amp;A paths.</x:v>
      </x:c>
    </x:row>
    <x:row r="14" ht="26.399999618530273" hidden="0" customHeight="1">
      <x:c r="A14" s="30" t="str">
        <x:v>Qualification</x:v>
      </x:c>
      <x:c r="B14" s="34" t="str">
        <x:v>Qualified if at least three apply: operational complexity, multiple systems, compliance/audit pressure, ERP/integration risk, AI-readiness pressure, reporting disagreement, budget influence, or access to budget.</x:v>
      </x:c>
    </x:row>
    <x:row r="15" ht="26.399999618530273" hidden="0" customHeight="1">
      <x:c r="A15" s="30" t="str">
        <x:v>Disqualification</x:v>
      </x:c>
      <x:c r="B15" s="34" t="str">
        <x:v>Disqualify if they only want free consulting, have no urgency, cannot refer, have no operational complexity, or cannot connect the problem to budget.</x:v>
      </x:c>
    </x:row>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2" hidden="0" customWidth="1"/>
    <x:col min="3" max="3" width="10" hidden="0" customWidth="1"/>
    <x:col min="4" max="4" width="22" hidden="0" customWidth="1"/>
    <x:col min="5" max="5" width="14" hidden="0" customWidth="1"/>
    <x:col min="6" max="6" width="30" hidden="0" customWidth="1"/>
    <x:col min="7" max="7" width="4" hidden="0" customWidth="1"/>
    <x:col min="8" max="8" width="18" hidden="0" customWidth="1"/>
  </x:cols>
  <x:sheetData>
    <x:row r="1" ht="30" hidden="0" customHeight="1">
      <x:c r="A1" s="5" t="str">
        <x:v>Outreach Dashboard</x:v>
      </x:c>
      <x:c r="B1" s="5"/>
      <x:c r="C1" s="5"/>
      <x:c r="D1" s="5"/>
      <x:c r="E1" s="5"/>
      <x:c r="F1" s="5"/>
      <x:c r="G1" s="5"/>
      <x:c r="H1" s="5"/>
    </x:row>
    <x:row r="2" ht="38" hidden="0" customHeight="1">
      <x:c r="A2" s="13" t="str">
        <x:v>Formula-driven snapshot. Update source sheets; this page summarizes the system.</x:v>
      </x:c>
      <x:c r="B2" s="13"/>
      <x:c r="C2" s="13"/>
      <x:c r="D2" s="13"/>
      <x:c r="E2" s="13"/>
      <x:c r="F2" s="13"/>
      <x:c r="G2" s="13"/>
      <x:c r="H2" s="13"/>
    </x:row>
    <x:row r="3"/>
    <x:row r="4" ht="15" hidden="0" customHeight="1">
      <x:c r="A4" s="22" t="str">
        <x:v>Metric</x:v>
      </x:c>
      <x:c r="B4" s="22" t="str">
        <x:v>Value</x:v>
      </x:c>
      <x:c r="D4" s="22" t="str">
        <x:v>Lane</x:v>
      </x:c>
      <x:c r="E4" s="22" t="str">
        <x:v>Targets</x:v>
      </x:c>
      <x:c r="F4" s="22" t="str">
        <x:v>Opportunities</x:v>
      </x:c>
    </x:row>
    <x:row r="5" ht="15" hidden="0" customHeight="1">
      <x:c r="A5" s="29" t="str">
        <x:v>Total targets</x:v>
      </x:c>
      <x:c r="B5" s="47" t="n">
        <x:f>COUNTA(Targets!A5:A504)</x:f>
        <x:v>0</x:v>
      </x:c>
      <x:c r="D5" t="str">
        <x:v>Pilot</x:v>
      </x:c>
      <x:c r="E5" t="n">
        <x:f>COUNTIF(Targets!C5:C504,D5)</x:f>
        <x:v>0</x:v>
      </x:c>
      <x:c r="F5" t="n">
        <x:f>COUNTIFS(Targets!C5:C504,D5,Targets!M5:M504,"Opportunity")</x:f>
        <x:v>0</x:v>
      </x:c>
    </x:row>
    <x:row r="6" ht="15" hidden="0" customHeight="1">
      <x:c r="A6" s="29" t="str">
        <x:v>Active queue</x:v>
      </x:c>
      <x:c r="B6" s="47" t="n">
        <x:f>SUM(COUNTIF(Targets!M5:M504,{"Queued","Contacted"}))</x:f>
        <x:v>0</x:v>
      </x:c>
      <x:c r="D6" t="str">
        <x:v>Partner</x:v>
      </x:c>
      <x:c r="E6" t="n">
        <x:f>COUNTIF(Targets!C5:C504,D6)</x:f>
        <x:v>0</x:v>
      </x:c>
      <x:c r="F6" t="n">
        <x:f>COUNTIFS(Targets!C5:C504,D6,Targets!M5:M504,"Opportunity")</x:f>
        <x:v>0</x:v>
      </x:c>
    </x:row>
    <x:row r="7" ht="15" hidden="0" customHeight="1">
      <x:c r="A7" s="29" t="str">
        <x:v>Replies</x:v>
      </x:c>
      <x:c r="B7" s="47" t="n">
        <x:f>COUNTIF(Targets!M5:M504,"Replied")</x:f>
        <x:v>0</x:v>
      </x:c>
      <x:c r="D7" t="str">
        <x:v>Strategic/Funder</x:v>
      </x:c>
      <x:c r="E7" t="n">
        <x:f>COUNTIF(Targets!C5:C504,D7)</x:f>
        <x:v>0</x:v>
      </x:c>
      <x:c r="F7" t="n">
        <x:f>COUNTIFS(Targets!C5:C504,D7,Targets!M5:M504,"Opportunity")</x:f>
        <x:v>0</x:v>
      </x:c>
    </x:row>
    <x:row r="8" ht="15" hidden="0" customHeight="1">
      <x:c r="A8" s="29" t="str">
        <x:v>Calls booked</x:v>
      </x:c>
      <x:c r="B8" s="47" t="n">
        <x:f>COUNTIF(Targets!M5:M504,"Call Booked")</x:f>
        <x:v>0</x:v>
      </x:c>
      <x:c r="D8" t="str">
        <x:v>Acquirer/Acqui-hire</x:v>
      </x:c>
      <x:c r="E8" t="n">
        <x:f>COUNTIF(Targets!C5:C504,D8)</x:f>
        <x:v>0</x:v>
      </x:c>
      <x:c r="F8" t="n">
        <x:f>COUNTIFS(Targets!C5:C504,D8,Targets!M5:M504,"Opportunity")</x:f>
        <x:v>0</x:v>
      </x:c>
    </x:row>
    <x:row r="9" ht="15" hidden="0" customHeight="1">
      <x:c r="A9" s="29" t="str">
        <x:v>Opportunities</x:v>
      </x:c>
      <x:c r="B9" s="47" t="n">
        <x:f>COUNTIF(Targets!M5:M504,"Opportunity")</x:f>
        <x:v>0</x:v>
      </x:c>
      <x:c r="D9" t="str">
        <x:v>Media/Influencer</x:v>
      </x:c>
      <x:c r="E9" t="n">
        <x:f>COUNTIF(Targets!C5:C504,D9)</x:f>
        <x:v>0</x:v>
      </x:c>
      <x:c r="F9" t="n">
        <x:f>COUNTIFS(Targets!C5:C504,D9,Targets!M5:M504,"Opportunity")</x:f>
        <x:v>0</x:v>
      </x:c>
    </x:row>
    <x:row r="10" ht="15" hidden="0" customHeight="1">
      <x:c r="A10" s="29" t="str">
        <x:v>Closed paid</x:v>
      </x:c>
      <x:c r="B10" s="47" t="n">
        <x:f>COUNTIF(Targets!M5:M504,"Closed Paid")</x:f>
        <x:v>0</x:v>
      </x:c>
      <x:c r="D10" t="str">
        <x:v>Other</x:v>
      </x:c>
      <x:c r="E10" t="n">
        <x:f>COUNTIF(Targets!C5:C504,D10)</x:f>
        <x:v>0</x:v>
      </x:c>
      <x:c r="F10" t="n">
        <x:f>COUNTIFS(Targets!C5:C504,D10,Targets!M5:M504,"Opportunity")</x:f>
        <x:v>0</x:v>
      </x:c>
    </x:row>
    <x:row r="11" ht="15" hidden="0" customHeight="1">
      <x:c r="A11" s="29" t="str">
        <x:v>Nurture</x:v>
      </x:c>
      <x:c r="B11" s="47" t="n">
        <x:f>COUNTIF(Targets!M5:M504,"Nurture")</x:f>
        <x:v>0</x:v>
      </x:c>
    </x:row>
    <x:row r="12" ht="15" hidden="0" customHeight="1">
      <x:c r="A12" s="29" t="str">
        <x:v>Disqualified</x:v>
      </x:c>
      <x:c r="B12" s="47" t="n">
        <x:f>COUNTIF(Targets!M5:M504,"Disqualified")</x:f>
        <x:v>0</x:v>
      </x:c>
    </x:row>
    <x:row r="13"/>
    <x:row r="14"/>
    <x:row r="15" ht="15" hidden="0" customHeight="1">
      <x:c r="A15" s="22" t="str">
        <x:v>Status</x:v>
      </x:c>
      <x:c r="B15" s="22" t="str">
        <x:v>Count</x:v>
      </x:c>
      <x:c r="C15" s="22" t="str">
        <x:v>Share</x:v>
      </x:c>
      <x:c r="D15" s="22" t="str">
        <x:v>Last 7 Days</x:v>
      </x:c>
      <x:c r="E15" s="22" t="str">
        <x:v>Count</x:v>
      </x:c>
      <x:c r="F15" s="22" t="str">
        <x:v>Notes</x:v>
      </x:c>
    </x:row>
    <x:row r="16" ht="15" hidden="0" customHeight="1">
      <x:c r="A16" t="str">
        <x:v>Not Started</x:v>
      </x:c>
      <x:c r="B16" t="n">
        <x:f>COUNTIF(Targets!M5:M504,A16)</x:f>
        <x:v>0</x:v>
      </x:c>
      <x:c r="C16" s="44" t="n">
        <x:f>IFERROR(B16/$B$5,0)</x:f>
        <x:v>0</x:v>
      </x:c>
      <x:c r="D16" t="str">
        <x:v>Touches logged</x:v>
      </x:c>
      <x:c r="E16" t="n">
        <x:f>COUNTIF('Activity Log'!A5:A1004,"&gt;="&amp;TODAY()-7)</x:f>
        <x:v>0</x:v>
      </x:c>
      <x:c r="F16" s="34" t="str"/>
    </x:row>
    <x:row r="17" ht="15" hidden="0" customHeight="1">
      <x:c r="A17" t="str">
        <x:v>Queued</x:v>
      </x:c>
      <x:c r="B17" t="n">
        <x:f>COUNTIF(Targets!M5:M504,A17)</x:f>
        <x:v>0</x:v>
      </x:c>
      <x:c r="C17" s="44" t="n">
        <x:f>IFERROR(B17/$B$5,0)</x:f>
        <x:v>0</x:v>
      </x:c>
      <x:c r="D17" t="str">
        <x:v>Positive replies</x:v>
      </x:c>
      <x:c r="E17" t="n">
        <x:f>COUNTIFS('Activity Log'!A5:A1004,"&gt;="&amp;TODAY()-7,'Activity Log'!I5:I1004,"Positive Reply")</x:f>
        <x:v>0</x:v>
      </x:c>
      <x:c r="F17" s="34" t="str"/>
    </x:row>
    <x:row r="18" ht="15" hidden="0" customHeight="1">
      <x:c r="A18" t="str">
        <x:v>Contacted</x:v>
      </x:c>
      <x:c r="B18" t="n">
        <x:f>COUNTIF(Targets!M5:M504,A18)</x:f>
        <x:v>0</x:v>
      </x:c>
      <x:c r="C18" s="44" t="n">
        <x:f>IFERROR(B18/$B$5,0)</x:f>
        <x:v>0</x:v>
      </x:c>
      <x:c r="D18" t="str">
        <x:v>Calls booked</x:v>
      </x:c>
      <x:c r="E18" t="n">
        <x:f>COUNTIFS('Activity Log'!A5:A1004,"&gt;="&amp;TODAY()-7,'Activity Log'!I5:I1004,"Call Booked")</x:f>
        <x:v>0</x:v>
      </x:c>
      <x:c r="F18" s="34" t="str"/>
    </x:row>
    <x:row r="19" ht="15" hidden="0" customHeight="1">
      <x:c r="A19" t="str">
        <x:v>Replied</x:v>
      </x:c>
      <x:c r="B19" t="n">
        <x:f>COUNTIF(Targets!M5:M504,A19)</x:f>
        <x:v>0</x:v>
      </x:c>
      <x:c r="C19" s="44" t="n">
        <x:f>IFERROR(B19/$B$5,0)</x:f>
        <x:v>0</x:v>
      </x:c>
      <x:c r="D19" t="str">
        <x:v>Referrals offered</x:v>
      </x:c>
      <x:c r="E19" t="n">
        <x:f>COUNTIFS('Activity Log'!A5:A1004,"&gt;="&amp;TODAY()-7,'Activity Log'!I5:I1004,"Referral Offered")</x:f>
        <x:v>0</x:v>
      </x:c>
      <x:c r="F19" s="34" t="str"/>
    </x:row>
    <x:row r="20" ht="15" hidden="0" customHeight="1">
      <x:c r="A20" t="str">
        <x:v>Call Booked</x:v>
      </x:c>
      <x:c r="B20" t="n">
        <x:f>COUNTIF(Targets!M5:M504,A20)</x:f>
        <x:v>0</x:v>
      </x:c>
      <x:c r="C20" s="44" t="n">
        <x:f>IFERROR(B20/$B$5,0)</x:f>
        <x:v>0</x:v>
      </x:c>
      <x:c r="D20" t="str">
        <x:v>Opportunities created</x:v>
      </x:c>
      <x:c r="E20" t="n">
        <x:f>COUNTIFS('Activity Log'!A5:A1004,"&gt;="&amp;TODAY()-7,'Activity Log'!I5:I1004,"Opportunity Created")</x:f>
        <x:v>0</x:v>
      </x:c>
      <x:c r="F20" s="34" t="str"/>
    </x:row>
    <x:row r="21" ht="15" hidden="0" customHeight="1">
      <x:c r="A21" t="str">
        <x:v>Opportunity</x:v>
      </x:c>
      <x:c r="B21" t="n">
        <x:f>COUNTIF(Targets!M5:M504,A21)</x:f>
        <x:v>0</x:v>
      </x:c>
      <x:c r="C21" s="44" t="n">
        <x:f>IFERROR(B21/$B$5,0)</x:f>
        <x:v>0</x:v>
      </x:c>
      <x:c r="D21" t="str">
        <x:v>Follow-ups due</x:v>
      </x:c>
      <x:c r="E21" t="n">
        <x:f>COUNTIFS('Activity Log'!K5:K1004,"&lt;="&amp;TODAY(),'Activity Log'!K5:K1004,"&lt;&gt;")</x:f>
        <x:v>0</x:v>
      </x:c>
      <x:c r="F21" s="34" t="str"/>
    </x:row>
    <x:row r="22" ht="15" hidden="0" customHeight="1">
      <x:c r="A22" t="str">
        <x:v>Closed Paid</x:v>
      </x:c>
      <x:c r="B22" t="n">
        <x:f>COUNTIF(Targets!M5:M504,A22)</x:f>
        <x:v>0</x:v>
      </x:c>
      <x:c r="C22" s="44" t="n">
        <x:f>IFERROR(B22/$B$5,0)</x:f>
        <x:v>0</x:v>
      </x:c>
      <x:c r="D22" t="str">
        <x:v>Weighted pipeline</x:v>
      </x:c>
      <x:c r="E22" s="42" t="n">
        <x:f>SUM('Opportunity Pipeline'!K5:K304)</x:f>
        <x:v>0</x:v>
      </x:c>
      <x:c r="F22" s="34" t="str"/>
    </x:row>
    <x:row r="23" ht="15" hidden="0" customHeight="1">
      <x:c r="A23" t="str">
        <x:v>Nurture</x:v>
      </x:c>
      <x:c r="B23" t="n">
        <x:f>COUNTIF(Targets!M5:M504,A23)</x:f>
        <x:v>0</x:v>
      </x:c>
      <x:c r="C23" s="44" t="n">
        <x:f>IFERROR(B23/$B$5,0)</x:f>
        <x:v>0</x:v>
      </x:c>
    </x:row>
    <x:row r="24" ht="15" hidden="0" customHeight="1">
      <x:c r="A24" t="str">
        <x:v>Disqualified</x:v>
      </x:c>
      <x:c r="B24" t="n">
        <x:f>COUNTIF(Targets!M5:M504,A24)</x:f>
        <x:v>0</x:v>
      </x:c>
      <x:c r="C24" s="44" t="n">
        <x:f>IFERROR(B24/$B$5,0)</x:f>
        <x:v>0</x:v>
      </x:c>
    </x:row>
    <x:row r="25" ht="15" hidden="0" customHeight="1">
      <x:c r="A25" t="str">
        <x:v>No Response</x:v>
      </x:c>
      <x:c r="B25" t="n">
        <x:f>COUNTIF(Targets!M5:M504,A25)</x:f>
        <x:v>0</x:v>
      </x:c>
      <x:c r="C25" s="44" t="n">
        <x:f>IFERROR(B25/$B$5,0)</x:f>
        <x:v>0</x:v>
      </x:c>
    </x:row>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pageMargins left="0.7" right="0.7" top="0.75" bottom="0.75" header="0.3" footer="0.3"/>
  <x:drawing xmlns:r="http://schemas.openxmlformats.org/officeDocument/2006/relationships" r:id="Ra1c6e1a14d16450c"/>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8" hidden="0" customWidth="1"/>
    <x:col min="4" max="4" width="20" hidden="0" customWidth="1"/>
    <x:col min="5" max="5" width="24" hidden="0" customWidth="1"/>
    <x:col min="6" max="6" width="24" hidden="0" customWidth="1"/>
    <x:col min="7" max="7" width="32" hidden="0" customWidth="1"/>
    <x:col min="8" max="8" width="28" hidden="0" customWidth="1"/>
    <x:col min="9" max="9" width="36" hidden="0" customWidth="1"/>
    <x:col min="10" max="10" width="42" hidden="0" customWidth="1"/>
    <x:col min="11" max="11" width="38" hidden="0" customWidth="1"/>
    <x:col min="12" max="12" width="10" hidden="0" customWidth="1"/>
    <x:col min="13" max="13" width="16" hidden="0" customWidth="1"/>
    <x:col min="14" max="14" width="12" hidden="0" customWidth="1"/>
    <x:col min="15" max="15" width="12" hidden="0" customWidth="1"/>
    <x:col min="16" max="16" width="14" hidden="0" customWidth="1"/>
    <x:col min="17" max="17" width="18" hidden="0" customWidth="1"/>
    <x:col min="18" max="18" width="38" hidden="0" customWidth="1"/>
    <x:col min="19" max="19" width="32" hidden="0" customWidth="1"/>
    <x:col min="20" max="20" width="14" hidden="0" customWidth="1"/>
    <x:col min="21" max="21" width="45" hidden="0" customWidth="1"/>
  </x:cols>
  <x:sheetData>
    <x:row r="1" ht="30" hidden="0" customHeight="1">
      <x:c r="A1" s="5" t="str">
        <x:v>Targets</x:v>
      </x:c>
      <x:c r="B1" s="5"/>
      <x:c r="C1" s="5"/>
      <x:c r="D1" s="5"/>
      <x:c r="E1" s="5"/>
      <x:c r="F1" s="5"/>
      <x:c r="G1" s="5"/>
      <x:c r="H1" s="5"/>
      <x:c r="I1" s="34"/>
      <x:c r="J1" s="34"/>
      <x:c r="K1" s="34"/>
      <x:c r="R1" s="34"/>
      <x:c r="S1" s="34"/>
      <x:c r="T1" s="34"/>
      <x:c r="U1" s="34"/>
    </x:row>
    <x:row r="2" ht="38" hidden="0" customHeight="1">
      <x:c r="A2" s="13" t="str">
        <x:v>Master prospect list. Use one row per person/entity. Keep this sheet authoritative.</x:v>
      </x:c>
      <x:c r="B2" s="13"/>
      <x:c r="C2" s="13"/>
      <x:c r="D2" s="13"/>
      <x:c r="E2" s="13"/>
      <x:c r="F2" s="13"/>
      <x:c r="G2" s="13"/>
      <x:c r="H2" s="13"/>
    </x:row>
    <x:row r="3"/>
    <x:row r="4" ht="15" hidden="0" customHeight="1">
      <x:c r="A4" s="22" t="str">
        <x:v>Target ID</x:v>
      </x:c>
      <x:c r="B4" s="22" t="str">
        <x:v>Date Added</x:v>
      </x:c>
      <x:c r="C4" s="22" t="str">
        <x:v>Lane</x:v>
      </x:c>
      <x:c r="D4" s="22" t="str">
        <x:v>Name</x:v>
      </x:c>
      <x:c r="E4" s="22" t="str">
        <x:v>Organization</x:v>
      </x:c>
      <x:c r="F4" s="22" t="str">
        <x:v>Role/Title</x:v>
      </x:c>
      <x:c r="G4" s="22" t="str">
        <x:v>LinkedIn URL</x:v>
      </x:c>
      <x:c r="H4" s="22" t="str">
        <x:v>Email</x:v>
      </x:c>
      <x:c r="I4" s="22" t="str">
        <x:v>Fit Reason</x:v>
      </x:c>
      <x:c r="J4" s="22" t="str">
        <x:v>Pain Hypothesis</x:v>
      </x:c>
      <x:c r="K4" s="22" t="str">
        <x:v>Best Hook</x:v>
      </x:c>
      <x:c r="L4" s="22" t="str">
        <x:v>Priority</x:v>
      </x:c>
      <x:c r="M4" s="22" t="str">
        <x:v>Status</x:v>
      </x:c>
      <x:c r="N4" s="22" t="str">
        <x:v>Last Touch</x:v>
      </x:c>
      <x:c r="O4" s="22" t="str">
        <x:v>Next Touch</x:v>
      </x:c>
      <x:c r="P4" s="22" t="str">
        <x:v>Channel</x:v>
      </x:c>
      <x:c r="Q4" s="22" t="str">
        <x:v>Message Version</x:v>
      </x:c>
      <x:c r="R4" s="22" t="str">
        <x:v>Reply/Objection</x:v>
      </x:c>
      <x:c r="S4" s="22" t="str">
        <x:v>Next Action</x:v>
      </x:c>
      <x:c r="T4" s="22" t="str">
        <x:v>Owner</x:v>
      </x:c>
      <x:c r="U4" s="22" t="str">
        <x:v>Notes</x:v>
      </x:c>
    </x:row>
    <x:row r="5" ht="15" hidden="0" customHeight="1">
      <x:c r="B5" s="50"/>
      <x:c r="N5" s="50"/>
      <x:c r="O5" s="50"/>
    </x:row>
    <x:row r="6" ht="15" hidden="0" customHeight="1">
      <x:c r="B6" s="50"/>
      <x:c r="N6" s="50"/>
      <x:c r="O6" s="50"/>
    </x:row>
    <x:row r="7" ht="15" hidden="0" customHeight="1">
      <x:c r="B7" s="50"/>
      <x:c r="N7" s="50"/>
      <x:c r="O7" s="50"/>
    </x:row>
    <x:row r="8" ht="15" hidden="0" customHeight="1">
      <x:c r="B8" s="50"/>
      <x:c r="N8" s="50"/>
      <x:c r="O8" s="50"/>
    </x:row>
    <x:row r="9" ht="15" hidden="0" customHeight="1">
      <x:c r="B9" s="50"/>
      <x:c r="N9" s="50"/>
      <x:c r="O9" s="50"/>
    </x:row>
    <x:row r="10" ht="15" hidden="0" customHeight="1">
      <x:c r="B10" s="50"/>
      <x:c r="N10" s="50"/>
      <x:c r="O10" s="50"/>
    </x:row>
    <x:row r="11" ht="15" hidden="0" customHeight="1">
      <x:c r="B11" s="50"/>
      <x:c r="N11" s="50"/>
      <x:c r="O11" s="50"/>
    </x:row>
    <x:row r="12" ht="15" hidden="0" customHeight="1">
      <x:c r="B12" s="50"/>
      <x:c r="N12" s="50"/>
      <x:c r="O12" s="50"/>
    </x:row>
    <x:row r="13" ht="15" hidden="0" customHeight="1">
      <x:c r="B13" s="50"/>
      <x:c r="N13" s="50"/>
      <x:c r="O13" s="50"/>
    </x:row>
    <x:row r="14" ht="15" hidden="0" customHeight="1">
      <x:c r="B14" s="50"/>
      <x:c r="N14" s="50"/>
      <x:c r="O14" s="50"/>
    </x:row>
    <x:row r="15" ht="15" hidden="0" customHeight="1">
      <x:c r="B15" s="50"/>
      <x:c r="N15" s="50"/>
      <x:c r="O15" s="50"/>
    </x:row>
    <x:row r="16" ht="15" hidden="0" customHeight="1">
      <x:c r="B16" s="50"/>
      <x:c r="N16" s="50"/>
      <x:c r="O16" s="50"/>
    </x:row>
    <x:row r="17" ht="15" hidden="0" customHeight="1">
      <x:c r="B17" s="50"/>
      <x:c r="N17" s="50"/>
      <x:c r="O17" s="50"/>
    </x:row>
    <x:row r="18" ht="15" hidden="0" customHeight="1">
      <x:c r="B18" s="50"/>
      <x:c r="N18" s="50"/>
      <x:c r="O18" s="50"/>
    </x:row>
    <x:row r="19" ht="15" hidden="0" customHeight="1">
      <x:c r="B19" s="50"/>
      <x:c r="N19" s="50"/>
      <x:c r="O19" s="50"/>
    </x:row>
    <x:row r="20" ht="15" hidden="0" customHeight="1">
      <x:c r="B20" s="50"/>
      <x:c r="N20" s="50"/>
      <x:c r="O20" s="50"/>
    </x:row>
    <x:row r="21" ht="15" hidden="0" customHeight="1">
      <x:c r="B21" s="50"/>
      <x:c r="N21" s="50"/>
      <x:c r="O21" s="50"/>
    </x:row>
    <x:row r="22" ht="15" hidden="0" customHeight="1">
      <x:c r="B22" s="50"/>
      <x:c r="N22" s="50"/>
      <x:c r="O22" s="50"/>
    </x:row>
    <x:row r="23" ht="15" hidden="0" customHeight="1">
      <x:c r="B23" s="50"/>
      <x:c r="N23" s="50"/>
      <x:c r="O23" s="50"/>
    </x:row>
    <x:row r="24" ht="15" hidden="0" customHeight="1">
      <x:c r="B24" s="50"/>
      <x:c r="N24" s="50"/>
      <x:c r="O24" s="50"/>
    </x:row>
    <x:row r="25" ht="15" hidden="0" customHeight="1">
      <x:c r="B25" s="50"/>
      <x:c r="N25" s="50"/>
      <x:c r="O25" s="50"/>
    </x:row>
    <x:row r="26" ht="15" hidden="0" customHeight="1">
      <x:c r="B26" s="50"/>
      <x:c r="N26" s="50"/>
      <x:c r="O26" s="50"/>
    </x:row>
    <x:row r="27" ht="15" hidden="0" customHeight="1">
      <x:c r="B27" s="50"/>
      <x:c r="N27" s="50"/>
      <x:c r="O27" s="50"/>
    </x:row>
    <x:row r="28" ht="15" hidden="0" customHeight="1">
      <x:c r="B28" s="50"/>
      <x:c r="N28" s="50"/>
      <x:c r="O28" s="50"/>
    </x:row>
    <x:row r="29" ht="15" hidden="0" customHeight="1">
      <x:c r="B29" s="50"/>
      <x:c r="N29" s="50"/>
      <x:c r="O29" s="50"/>
    </x:row>
    <x:row r="30" ht="15" hidden="0" customHeight="1">
      <x:c r="B30" s="50"/>
      <x:c r="N30" s="50"/>
      <x:c r="O30" s="50"/>
    </x:row>
    <x:row r="31" ht="15" hidden="0" customHeight="1">
      <x:c r="B31" s="50"/>
      <x:c r="N31" s="50"/>
      <x:c r="O31" s="50"/>
    </x:row>
    <x:row r="32" ht="15" hidden="0" customHeight="1">
      <x:c r="B32" s="50"/>
      <x:c r="N32" s="50"/>
      <x:c r="O32" s="50"/>
    </x:row>
    <x:row r="33" ht="15" hidden="0" customHeight="1">
      <x:c r="B33" s="50"/>
      <x:c r="N33" s="50"/>
      <x:c r="O33" s="50"/>
    </x:row>
    <x:row r="34" ht="15" hidden="0" customHeight="1">
      <x:c r="B34" s="50"/>
      <x:c r="N34" s="50"/>
      <x:c r="O34" s="50"/>
    </x:row>
    <x:row r="35" ht="15" hidden="0" customHeight="1">
      <x:c r="B35" s="50"/>
      <x:c r="N35" s="50"/>
      <x:c r="O35" s="50"/>
    </x:row>
    <x:row r="36" ht="15" hidden="0" customHeight="1">
      <x:c r="B36" s="50"/>
      <x:c r="N36" s="50"/>
      <x:c r="O36" s="50"/>
    </x:row>
    <x:row r="37" ht="15" hidden="0" customHeight="1">
      <x:c r="B37" s="50"/>
      <x:c r="N37" s="50"/>
      <x:c r="O37" s="50"/>
    </x:row>
    <x:row r="38" ht="15" hidden="0" customHeight="1">
      <x:c r="B38" s="50"/>
      <x:c r="N38" s="50"/>
      <x:c r="O38" s="50"/>
    </x:row>
    <x:row r="39" ht="15" hidden="0" customHeight="1">
      <x:c r="B39" s="50"/>
      <x:c r="N39" s="50"/>
      <x:c r="O39" s="50"/>
    </x:row>
    <x:row r="40" ht="15" hidden="0" customHeight="1">
      <x:c r="B40" s="50"/>
      <x:c r="N40" s="50"/>
      <x:c r="O40" s="50"/>
    </x:row>
    <x:row r="41" ht="15" hidden="0" customHeight="1">
      <x:c r="B41" s="50"/>
      <x:c r="N41" s="50"/>
      <x:c r="O41" s="50"/>
    </x:row>
    <x:row r="42" ht="15" hidden="0" customHeight="1">
      <x:c r="B42" s="50"/>
      <x:c r="N42" s="50"/>
      <x:c r="O42" s="50"/>
    </x:row>
    <x:row r="43" ht="15" hidden="0" customHeight="1">
      <x:c r="B43" s="50"/>
      <x:c r="N43" s="50"/>
      <x:c r="O43" s="50"/>
    </x:row>
    <x:row r="44" ht="15" hidden="0" customHeight="1">
      <x:c r="B44" s="50"/>
      <x:c r="N44" s="50"/>
      <x:c r="O44" s="50"/>
    </x:row>
    <x:row r="45" ht="15" hidden="0" customHeight="1">
      <x:c r="B45" s="50"/>
      <x:c r="N45" s="50"/>
      <x:c r="O45" s="50"/>
    </x:row>
    <x:row r="46" ht="15" hidden="0" customHeight="1">
      <x:c r="B46" s="50"/>
      <x:c r="N46" s="50"/>
      <x:c r="O46" s="50"/>
    </x:row>
    <x:row r="47" ht="15" hidden="0" customHeight="1">
      <x:c r="B47" s="50"/>
      <x:c r="N47" s="50"/>
      <x:c r="O47" s="50"/>
    </x:row>
    <x:row r="48" ht="15" hidden="0" customHeight="1">
      <x:c r="B48" s="50"/>
      <x:c r="N48" s="50"/>
      <x:c r="O48" s="50"/>
    </x:row>
    <x:row r="49" ht="15" hidden="0" customHeight="1">
      <x:c r="B49" s="50"/>
      <x:c r="N49" s="50"/>
      <x:c r="O49" s="50"/>
    </x:row>
    <x:row r="50" ht="15" hidden="0" customHeight="1">
      <x:c r="B50" s="50"/>
      <x:c r="N50" s="50"/>
      <x:c r="O50" s="50"/>
    </x:row>
    <x:row r="51" ht="15" hidden="0" customHeight="1">
      <x:c r="B51" s="50"/>
      <x:c r="N51" s="50"/>
      <x:c r="O51" s="50"/>
    </x:row>
    <x:row r="52" ht="15" hidden="0" customHeight="1">
      <x:c r="B52" s="50"/>
      <x:c r="N52" s="50"/>
      <x:c r="O52" s="50"/>
    </x:row>
    <x:row r="53" ht="15" hidden="0" customHeight="1">
      <x:c r="B53" s="50"/>
      <x:c r="N53" s="50"/>
      <x:c r="O53" s="50"/>
    </x:row>
    <x:row r="54" ht="15" hidden="0" customHeight="1">
      <x:c r="B54" s="50"/>
      <x:c r="N54" s="50"/>
      <x:c r="O54" s="50"/>
    </x:row>
    <x:row r="55" ht="15" hidden="0" customHeight="1">
      <x:c r="B55" s="50"/>
      <x:c r="N55" s="50"/>
      <x:c r="O55" s="50"/>
    </x:row>
    <x:row r="56" ht="15" hidden="0" customHeight="1">
      <x:c r="B56" s="50"/>
      <x:c r="N56" s="50"/>
      <x:c r="O56" s="50"/>
    </x:row>
    <x:row r="57" ht="15" hidden="0" customHeight="1">
      <x:c r="B57" s="50"/>
      <x:c r="N57" s="50"/>
      <x:c r="O57" s="50"/>
    </x:row>
    <x:row r="58" ht="15" hidden="0" customHeight="1">
      <x:c r="B58" s="50"/>
      <x:c r="N58" s="50"/>
      <x:c r="O58" s="50"/>
    </x:row>
    <x:row r="59" ht="15" hidden="0" customHeight="1">
      <x:c r="B59" s="50"/>
      <x:c r="N59" s="50"/>
      <x:c r="O59" s="50"/>
    </x:row>
    <x:row r="60" ht="15" hidden="0" customHeight="1">
      <x:c r="B60" s="50"/>
      <x:c r="N60" s="50"/>
      <x:c r="O60" s="50"/>
    </x:row>
    <x:row r="61" ht="15" hidden="0" customHeight="1">
      <x:c r="B61" s="50"/>
      <x:c r="N61" s="50"/>
      <x:c r="O61" s="50"/>
    </x:row>
    <x:row r="62" ht="15" hidden="0" customHeight="1">
      <x:c r="B62" s="50"/>
      <x:c r="N62" s="50"/>
      <x:c r="O62" s="50"/>
    </x:row>
    <x:row r="63" ht="15" hidden="0" customHeight="1">
      <x:c r="B63" s="50"/>
      <x:c r="N63" s="50"/>
      <x:c r="O63" s="50"/>
    </x:row>
    <x:row r="64" ht="15" hidden="0" customHeight="1">
      <x:c r="B64" s="50"/>
      <x:c r="N64" s="50"/>
      <x:c r="O64" s="50"/>
    </x:row>
    <x:row r="65" ht="15" hidden="0" customHeight="1">
      <x:c r="B65" s="50"/>
      <x:c r="N65" s="50"/>
      <x:c r="O65" s="50"/>
    </x:row>
    <x:row r="66" ht="15" hidden="0" customHeight="1">
      <x:c r="B66" s="50"/>
      <x:c r="N66" s="50"/>
      <x:c r="O66" s="50"/>
    </x:row>
    <x:row r="67" ht="15" hidden="0" customHeight="1">
      <x:c r="B67" s="50"/>
      <x:c r="N67" s="50"/>
      <x:c r="O67" s="50"/>
    </x:row>
    <x:row r="68" ht="15" hidden="0" customHeight="1">
      <x:c r="B68" s="50"/>
      <x:c r="N68" s="50"/>
      <x:c r="O68" s="50"/>
    </x:row>
    <x:row r="69" ht="15" hidden="0" customHeight="1">
      <x:c r="B69" s="50"/>
      <x:c r="N69" s="50"/>
      <x:c r="O69" s="50"/>
    </x:row>
    <x:row r="70" ht="15" hidden="0" customHeight="1">
      <x:c r="B70" s="50"/>
      <x:c r="N70" s="50"/>
      <x:c r="O70" s="50"/>
    </x:row>
    <x:row r="71" ht="15" hidden="0" customHeight="1">
      <x:c r="B71" s="50"/>
      <x:c r="N71" s="50"/>
      <x:c r="O71" s="50"/>
    </x:row>
    <x:row r="72" ht="15" hidden="0" customHeight="1">
      <x:c r="B72" s="50"/>
      <x:c r="N72" s="50"/>
      <x:c r="O72" s="50"/>
    </x:row>
    <x:row r="73" ht="15" hidden="0" customHeight="1">
      <x:c r="B73" s="50"/>
      <x:c r="N73" s="50"/>
      <x:c r="O73" s="50"/>
    </x:row>
    <x:row r="74" ht="15" hidden="0" customHeight="1">
      <x:c r="B74" s="50"/>
      <x:c r="N74" s="50"/>
      <x:c r="O74" s="50"/>
    </x:row>
    <x:row r="75" ht="15" hidden="0" customHeight="1">
      <x:c r="B75" s="50"/>
      <x:c r="N75" s="50"/>
      <x:c r="O75" s="50"/>
    </x:row>
    <x:row r="76" ht="15" hidden="0" customHeight="1">
      <x:c r="B76" s="50"/>
      <x:c r="N76" s="50"/>
      <x:c r="O76" s="50"/>
    </x:row>
    <x:row r="77" ht="15" hidden="0" customHeight="1">
      <x:c r="B77" s="50"/>
      <x:c r="N77" s="50"/>
      <x:c r="O77" s="50"/>
    </x:row>
    <x:row r="78" ht="15" hidden="0" customHeight="1">
      <x:c r="B78" s="50"/>
      <x:c r="N78" s="50"/>
      <x:c r="O78" s="50"/>
    </x:row>
    <x:row r="79" ht="15" hidden="0" customHeight="1">
      <x:c r="B79" s="50"/>
      <x:c r="N79" s="50"/>
      <x:c r="O79" s="50"/>
    </x:row>
    <x:row r="80" ht="15" hidden="0" customHeight="1">
      <x:c r="B80" s="50"/>
      <x:c r="N80" s="50"/>
      <x:c r="O80" s="50"/>
    </x:row>
    <x:row r="81" ht="15" hidden="0" customHeight="1">
      <x:c r="B81" s="50"/>
      <x:c r="N81" s="50"/>
      <x:c r="O81" s="50"/>
    </x:row>
    <x:row r="82" ht="15" hidden="0" customHeight="1">
      <x:c r="B82" s="50"/>
      <x:c r="N82" s="50"/>
      <x:c r="O82" s="50"/>
    </x:row>
    <x:row r="83" ht="15" hidden="0" customHeight="1">
      <x:c r="B83" s="50"/>
      <x:c r="N83" s="50"/>
      <x:c r="O83" s="50"/>
    </x:row>
    <x:row r="84" ht="15" hidden="0" customHeight="1">
      <x:c r="B84" s="50"/>
      <x:c r="N84" s="50"/>
      <x:c r="O84" s="50"/>
    </x:row>
    <x:row r="85" ht="15" hidden="0" customHeight="1">
      <x:c r="B85" s="50"/>
      <x:c r="N85" s="50"/>
      <x:c r="O85" s="50"/>
    </x:row>
    <x:row r="86" ht="15" hidden="0" customHeight="1">
      <x:c r="B86" s="50"/>
      <x:c r="N86" s="50"/>
      <x:c r="O86" s="50"/>
    </x:row>
    <x:row r="87" ht="15" hidden="0" customHeight="1">
      <x:c r="B87" s="50"/>
      <x:c r="N87" s="50"/>
      <x:c r="O87" s="50"/>
    </x:row>
    <x:row r="88" ht="15" hidden="0" customHeight="1">
      <x:c r="B88" s="50"/>
      <x:c r="N88" s="50"/>
      <x:c r="O88" s="50"/>
    </x:row>
    <x:row r="89" ht="15" hidden="0" customHeight="1">
      <x:c r="B89" s="50"/>
      <x:c r="N89" s="50"/>
      <x:c r="O89" s="50"/>
    </x:row>
    <x:row r="90" ht="15" hidden="0" customHeight="1">
      <x:c r="B90" s="50"/>
      <x:c r="N90" s="50"/>
      <x:c r="O90" s="50"/>
    </x:row>
    <x:row r="91" ht="15" hidden="0" customHeight="1">
      <x:c r="B91" s="50"/>
      <x:c r="N91" s="50"/>
      <x:c r="O91" s="50"/>
    </x:row>
    <x:row r="92" ht="15" hidden="0" customHeight="1">
      <x:c r="B92" s="50"/>
      <x:c r="N92" s="50"/>
      <x:c r="O92" s="50"/>
    </x:row>
    <x:row r="93" ht="15" hidden="0" customHeight="1">
      <x:c r="B93" s="50"/>
      <x:c r="N93" s="50"/>
      <x:c r="O93" s="50"/>
    </x:row>
    <x:row r="94" ht="15" hidden="0" customHeight="1">
      <x:c r="B94" s="50"/>
      <x:c r="N94" s="50"/>
      <x:c r="O94" s="50"/>
    </x:row>
    <x:row r="95" ht="15" hidden="0" customHeight="1">
      <x:c r="B95" s="50"/>
      <x:c r="N95" s="50"/>
      <x:c r="O95" s="50"/>
    </x:row>
    <x:row r="96" ht="15" hidden="0" customHeight="1">
      <x:c r="B96" s="50"/>
      <x:c r="N96" s="50"/>
      <x:c r="O96" s="50"/>
    </x:row>
    <x:row r="97" ht="15" hidden="0" customHeight="1">
      <x:c r="B97" s="50"/>
      <x:c r="N97" s="50"/>
      <x:c r="O97" s="50"/>
    </x:row>
    <x:row r="98" ht="15" hidden="0" customHeight="1">
      <x:c r="B98" s="50"/>
      <x:c r="N98" s="50"/>
      <x:c r="O98" s="50"/>
    </x:row>
    <x:row r="99" ht="15" hidden="0" customHeight="1">
      <x:c r="B99" s="50"/>
      <x:c r="N99" s="50"/>
      <x:c r="O99" s="50"/>
    </x:row>
    <x:row r="100" ht="15" hidden="0" customHeight="1">
      <x:c r="B100" s="50"/>
      <x:c r="N100" s="50"/>
      <x:c r="O100" s="50"/>
    </x:row>
    <x:row r="101" ht="15" hidden="0" customHeight="1">
      <x:c r="B101" s="50"/>
      <x:c r="N101" s="50"/>
      <x:c r="O101" s="50"/>
    </x:row>
    <x:row r="102" ht="15" hidden="0" customHeight="1">
      <x:c r="B102" s="50"/>
      <x:c r="N102" s="50"/>
      <x:c r="O102" s="50"/>
    </x:row>
    <x:row r="103" ht="15" hidden="0" customHeight="1">
      <x:c r="B103" s="50"/>
      <x:c r="N103" s="50"/>
      <x:c r="O103" s="50"/>
    </x:row>
    <x:row r="104" ht="15" hidden="0" customHeight="1">
      <x:c r="B104" s="50"/>
      <x:c r="N104" s="50"/>
      <x:c r="O104" s="50"/>
    </x:row>
    <x:row r="105" ht="15" hidden="0" customHeight="1">
      <x:c r="B105" s="50"/>
      <x:c r="N105" s="50"/>
      <x:c r="O105" s="50"/>
    </x:row>
    <x:row r="106" ht="15" hidden="0" customHeight="1">
      <x:c r="B106" s="50"/>
      <x:c r="N106" s="50"/>
      <x:c r="O106" s="50"/>
    </x:row>
    <x:row r="107" ht="15" hidden="0" customHeight="1">
      <x:c r="B107" s="50"/>
      <x:c r="N107" s="50"/>
      <x:c r="O107" s="50"/>
    </x:row>
    <x:row r="108" ht="15" hidden="0" customHeight="1">
      <x:c r="B108" s="50"/>
      <x:c r="N108" s="50"/>
      <x:c r="O108" s="50"/>
    </x:row>
    <x:row r="109" ht="15" hidden="0" customHeight="1">
      <x:c r="B109" s="50"/>
      <x:c r="N109" s="50"/>
      <x:c r="O109" s="50"/>
    </x:row>
    <x:row r="110" ht="15" hidden="0" customHeight="1">
      <x:c r="B110" s="50"/>
      <x:c r="N110" s="50"/>
      <x:c r="O110" s="50"/>
    </x:row>
    <x:row r="111" ht="15" hidden="0" customHeight="1">
      <x:c r="B111" s="50"/>
      <x:c r="N111" s="50"/>
      <x:c r="O111" s="50"/>
    </x:row>
    <x:row r="112" ht="15" hidden="0" customHeight="1">
      <x:c r="B112" s="50"/>
      <x:c r="N112" s="50"/>
      <x:c r="O112" s="50"/>
    </x:row>
    <x:row r="113" ht="15" hidden="0" customHeight="1">
      <x:c r="B113" s="50"/>
      <x:c r="N113" s="50"/>
      <x:c r="O113" s="50"/>
    </x:row>
    <x:row r="114" ht="15" hidden="0" customHeight="1">
      <x:c r="B114" s="50"/>
      <x:c r="N114" s="50"/>
      <x:c r="O114" s="50"/>
    </x:row>
    <x:row r="115" ht="15" hidden="0" customHeight="1">
      <x:c r="B115" s="50"/>
      <x:c r="N115" s="50"/>
      <x:c r="O115" s="50"/>
    </x:row>
    <x:row r="116" ht="15" hidden="0" customHeight="1">
      <x:c r="B116" s="50"/>
      <x:c r="N116" s="50"/>
      <x:c r="O116" s="50"/>
    </x:row>
    <x:row r="117" ht="15" hidden="0" customHeight="1">
      <x:c r="B117" s="50"/>
      <x:c r="N117" s="50"/>
      <x:c r="O117" s="50"/>
    </x:row>
    <x:row r="118" ht="15" hidden="0" customHeight="1">
      <x:c r="B118" s="50"/>
      <x:c r="N118" s="50"/>
      <x:c r="O118" s="50"/>
    </x:row>
    <x:row r="119" ht="15" hidden="0" customHeight="1">
      <x:c r="B119" s="50"/>
      <x:c r="N119" s="50"/>
      <x:c r="O119" s="50"/>
    </x:row>
    <x:row r="120" ht="15" hidden="0" customHeight="1">
      <x:c r="B120" s="50"/>
      <x:c r="N120" s="50"/>
      <x:c r="O120" s="50"/>
    </x:row>
    <x:row r="121" ht="15" hidden="0" customHeight="1">
      <x:c r="B121" s="50"/>
      <x:c r="N121" s="50"/>
      <x:c r="O121" s="50"/>
    </x:row>
    <x:row r="122" ht="15" hidden="0" customHeight="1">
      <x:c r="B122" s="50"/>
      <x:c r="N122" s="50"/>
      <x:c r="O122" s="50"/>
    </x:row>
    <x:row r="123" ht="15" hidden="0" customHeight="1">
      <x:c r="B123" s="50"/>
      <x:c r="N123" s="50"/>
      <x:c r="O123" s="50"/>
    </x:row>
    <x:row r="124" ht="15" hidden="0" customHeight="1">
      <x:c r="B124" s="50"/>
      <x:c r="N124" s="50"/>
      <x:c r="O124" s="50"/>
    </x:row>
    <x:row r="125" ht="15" hidden="0" customHeight="1">
      <x:c r="B125" s="50"/>
      <x:c r="N125" s="50"/>
      <x:c r="O125" s="50"/>
    </x:row>
    <x:row r="126" ht="15" hidden="0" customHeight="1">
      <x:c r="B126" s="50"/>
      <x:c r="N126" s="50"/>
      <x:c r="O126" s="50"/>
    </x:row>
    <x:row r="127" ht="15" hidden="0" customHeight="1">
      <x:c r="B127" s="50"/>
      <x:c r="N127" s="50"/>
      <x:c r="O127" s="50"/>
    </x:row>
    <x:row r="128" ht="15" hidden="0" customHeight="1">
      <x:c r="B128" s="50"/>
      <x:c r="N128" s="50"/>
      <x:c r="O128" s="50"/>
    </x:row>
    <x:row r="129" ht="15" hidden="0" customHeight="1">
      <x:c r="B129" s="50"/>
      <x:c r="N129" s="50"/>
      <x:c r="O129" s="50"/>
    </x:row>
    <x:row r="130" ht="15" hidden="0" customHeight="1">
      <x:c r="B130" s="50"/>
      <x:c r="N130" s="50"/>
      <x:c r="O130" s="50"/>
    </x:row>
    <x:row r="131" ht="15" hidden="0" customHeight="1">
      <x:c r="B131" s="50"/>
      <x:c r="N131" s="50"/>
      <x:c r="O131" s="50"/>
    </x:row>
    <x:row r="132" ht="15" hidden="0" customHeight="1">
      <x:c r="B132" s="50"/>
      <x:c r="N132" s="50"/>
      <x:c r="O132" s="50"/>
    </x:row>
    <x:row r="133" ht="15" hidden="0" customHeight="1">
      <x:c r="B133" s="50"/>
      <x:c r="N133" s="50"/>
      <x:c r="O133" s="50"/>
    </x:row>
    <x:row r="134" ht="15" hidden="0" customHeight="1">
      <x:c r="B134" s="50"/>
      <x:c r="N134" s="50"/>
      <x:c r="O134" s="50"/>
    </x:row>
    <x:row r="135" ht="15" hidden="0" customHeight="1">
      <x:c r="B135" s="50"/>
      <x:c r="N135" s="50"/>
      <x:c r="O135" s="50"/>
    </x:row>
    <x:row r="136" ht="15" hidden="0" customHeight="1">
      <x:c r="B136" s="50"/>
      <x:c r="N136" s="50"/>
      <x:c r="O136" s="50"/>
    </x:row>
    <x:row r="137" ht="15" hidden="0" customHeight="1">
      <x:c r="B137" s="50"/>
      <x:c r="N137" s="50"/>
      <x:c r="O137" s="50"/>
    </x:row>
    <x:row r="138" ht="15" hidden="0" customHeight="1">
      <x:c r="B138" s="50"/>
      <x:c r="N138" s="50"/>
      <x:c r="O138" s="50"/>
    </x:row>
    <x:row r="139" ht="15" hidden="0" customHeight="1">
      <x:c r="B139" s="50"/>
      <x:c r="N139" s="50"/>
      <x:c r="O139" s="50"/>
    </x:row>
    <x:row r="140" ht="15" hidden="0" customHeight="1">
      <x:c r="B140" s="50"/>
      <x:c r="N140" s="50"/>
      <x:c r="O140" s="50"/>
    </x:row>
    <x:row r="141" ht="15" hidden="0" customHeight="1">
      <x:c r="B141" s="50"/>
      <x:c r="N141" s="50"/>
      <x:c r="O141" s="50"/>
    </x:row>
    <x:row r="142" ht="15" hidden="0" customHeight="1">
      <x:c r="B142" s="50"/>
      <x:c r="N142" s="50"/>
      <x:c r="O142" s="50"/>
    </x:row>
    <x:row r="143" ht="15" hidden="0" customHeight="1">
      <x:c r="B143" s="50"/>
      <x:c r="N143" s="50"/>
      <x:c r="O143" s="50"/>
    </x:row>
    <x:row r="144" ht="15" hidden="0" customHeight="1">
      <x:c r="B144" s="50"/>
      <x:c r="N144" s="50"/>
      <x:c r="O144" s="50"/>
    </x:row>
    <x:row r="145" ht="15" hidden="0" customHeight="1">
      <x:c r="B145" s="50"/>
      <x:c r="N145" s="50"/>
      <x:c r="O145" s="50"/>
    </x:row>
    <x:row r="146" ht="15" hidden="0" customHeight="1">
      <x:c r="B146" s="50"/>
      <x:c r="N146" s="50"/>
      <x:c r="O146" s="50"/>
    </x:row>
    <x:row r="147" ht="15" hidden="0" customHeight="1">
      <x:c r="B147" s="50"/>
      <x:c r="N147" s="50"/>
      <x:c r="O147" s="50"/>
    </x:row>
    <x:row r="148" ht="15" hidden="0" customHeight="1">
      <x:c r="B148" s="50"/>
      <x:c r="N148" s="50"/>
      <x:c r="O148" s="50"/>
    </x:row>
    <x:row r="149" ht="15" hidden="0" customHeight="1">
      <x:c r="B149" s="50"/>
      <x:c r="N149" s="50"/>
      <x:c r="O149" s="50"/>
    </x:row>
    <x:row r="150" ht="15" hidden="0" customHeight="1">
      <x:c r="B150" s="50"/>
      <x:c r="N150" s="50"/>
      <x:c r="O150" s="50"/>
    </x:row>
    <x:row r="151" ht="15" hidden="0" customHeight="1">
      <x:c r="B151" s="50"/>
      <x:c r="N151" s="50"/>
      <x:c r="O151" s="50"/>
    </x:row>
    <x:row r="152" ht="15" hidden="0" customHeight="1">
      <x:c r="B152" s="50"/>
      <x:c r="N152" s="50"/>
      <x:c r="O152" s="50"/>
    </x:row>
    <x:row r="153" ht="15" hidden="0" customHeight="1">
      <x:c r="B153" s="50"/>
      <x:c r="N153" s="50"/>
      <x:c r="O153" s="50"/>
    </x:row>
    <x:row r="154" ht="15" hidden="0" customHeight="1">
      <x:c r="B154" s="50"/>
      <x:c r="N154" s="50"/>
      <x:c r="O154" s="50"/>
    </x:row>
    <x:row r="155" ht="15" hidden="0" customHeight="1">
      <x:c r="B155" s="50"/>
      <x:c r="N155" s="50"/>
      <x:c r="O155" s="50"/>
    </x:row>
    <x:row r="156" ht="15" hidden="0" customHeight="1">
      <x:c r="B156" s="50"/>
      <x:c r="N156" s="50"/>
      <x:c r="O156" s="50"/>
    </x:row>
    <x:row r="157" ht="15" hidden="0" customHeight="1">
      <x:c r="B157" s="50"/>
      <x:c r="N157" s="50"/>
      <x:c r="O157" s="50"/>
    </x:row>
    <x:row r="158" ht="15" hidden="0" customHeight="1">
      <x:c r="B158" s="50"/>
      <x:c r="N158" s="50"/>
      <x:c r="O158" s="50"/>
    </x:row>
    <x:row r="159" ht="15" hidden="0" customHeight="1">
      <x:c r="B159" s="50"/>
      <x:c r="N159" s="50"/>
      <x:c r="O159" s="50"/>
    </x:row>
    <x:row r="160" ht="15" hidden="0" customHeight="1">
      <x:c r="B160" s="50"/>
      <x:c r="N160" s="50"/>
      <x:c r="O160" s="50"/>
    </x:row>
    <x:row r="161" ht="15" hidden="0" customHeight="1">
      <x:c r="B161" s="50"/>
      <x:c r="N161" s="50"/>
      <x:c r="O161" s="50"/>
    </x:row>
    <x:row r="162" ht="15" hidden="0" customHeight="1">
      <x:c r="B162" s="50"/>
      <x:c r="N162" s="50"/>
      <x:c r="O162" s="50"/>
    </x:row>
    <x:row r="163" ht="15" hidden="0" customHeight="1">
      <x:c r="B163" s="50"/>
      <x:c r="N163" s="50"/>
      <x:c r="O163" s="50"/>
    </x:row>
    <x:row r="164" ht="15" hidden="0" customHeight="1">
      <x:c r="B164" s="50"/>
      <x:c r="N164" s="50"/>
      <x:c r="O164" s="50"/>
    </x:row>
    <x:row r="165" ht="15" hidden="0" customHeight="1">
      <x:c r="B165" s="50"/>
      <x:c r="N165" s="50"/>
      <x:c r="O165" s="50"/>
    </x:row>
    <x:row r="166" ht="15" hidden="0" customHeight="1">
      <x:c r="B166" s="50"/>
      <x:c r="N166" s="50"/>
      <x:c r="O166" s="50"/>
    </x:row>
    <x:row r="167" ht="15" hidden="0" customHeight="1">
      <x:c r="B167" s="50"/>
      <x:c r="N167" s="50"/>
      <x:c r="O167" s="50"/>
    </x:row>
    <x:row r="168" ht="15" hidden="0" customHeight="1">
      <x:c r="B168" s="50"/>
      <x:c r="N168" s="50"/>
      <x:c r="O168" s="50"/>
    </x:row>
    <x:row r="169" ht="15" hidden="0" customHeight="1">
      <x:c r="B169" s="50"/>
      <x:c r="N169" s="50"/>
      <x:c r="O169" s="50"/>
    </x:row>
    <x:row r="170" ht="15" hidden="0" customHeight="1">
      <x:c r="B170" s="50"/>
      <x:c r="N170" s="50"/>
      <x:c r="O170" s="50"/>
    </x:row>
    <x:row r="171" ht="15" hidden="0" customHeight="1">
      <x:c r="B171" s="50"/>
      <x:c r="N171" s="50"/>
      <x:c r="O171" s="50"/>
    </x:row>
    <x:row r="172" ht="15" hidden="0" customHeight="1">
      <x:c r="B172" s="50"/>
      <x:c r="N172" s="50"/>
      <x:c r="O172" s="50"/>
    </x:row>
    <x:row r="173" ht="15" hidden="0" customHeight="1">
      <x:c r="B173" s="50"/>
      <x:c r="N173" s="50"/>
      <x:c r="O173" s="50"/>
    </x:row>
    <x:row r="174" ht="15" hidden="0" customHeight="1">
      <x:c r="B174" s="50"/>
      <x:c r="N174" s="50"/>
      <x:c r="O174" s="50"/>
    </x:row>
    <x:row r="175" ht="15" hidden="0" customHeight="1">
      <x:c r="B175" s="50"/>
      <x:c r="N175" s="50"/>
      <x:c r="O175" s="50"/>
    </x:row>
    <x:row r="176" ht="15" hidden="0" customHeight="1">
      <x:c r="B176" s="50"/>
      <x:c r="N176" s="50"/>
      <x:c r="O176" s="50"/>
    </x:row>
    <x:row r="177" ht="15" hidden="0" customHeight="1">
      <x:c r="B177" s="50"/>
      <x:c r="N177" s="50"/>
      <x:c r="O177" s="50"/>
    </x:row>
    <x:row r="178" ht="15" hidden="0" customHeight="1">
      <x:c r="B178" s="50"/>
      <x:c r="N178" s="50"/>
      <x:c r="O178" s="50"/>
    </x:row>
    <x:row r="179" ht="15" hidden="0" customHeight="1">
      <x:c r="B179" s="50"/>
      <x:c r="N179" s="50"/>
      <x:c r="O179" s="50"/>
    </x:row>
    <x:row r="180" ht="15" hidden="0" customHeight="1">
      <x:c r="B180" s="50"/>
      <x:c r="N180" s="50"/>
      <x:c r="O180" s="50"/>
    </x:row>
    <x:row r="181" ht="15" hidden="0" customHeight="1">
      <x:c r="B181" s="50"/>
      <x:c r="N181" s="50"/>
      <x:c r="O181" s="50"/>
    </x:row>
    <x:row r="182" ht="15" hidden="0" customHeight="1">
      <x:c r="B182" s="50"/>
      <x:c r="N182" s="50"/>
      <x:c r="O182" s="50"/>
    </x:row>
    <x:row r="183" ht="15" hidden="0" customHeight="1">
      <x:c r="B183" s="50"/>
      <x:c r="N183" s="50"/>
      <x:c r="O183" s="50"/>
    </x:row>
    <x:row r="184" ht="15" hidden="0" customHeight="1">
      <x:c r="B184" s="50"/>
      <x:c r="N184" s="50"/>
      <x:c r="O184" s="50"/>
    </x:row>
    <x:row r="185" ht="15" hidden="0" customHeight="1">
      <x:c r="B185" s="50"/>
      <x:c r="N185" s="50"/>
      <x:c r="O185" s="50"/>
    </x:row>
    <x:row r="186" ht="15" hidden="0" customHeight="1">
      <x:c r="B186" s="50"/>
      <x:c r="N186" s="50"/>
      <x:c r="O186" s="50"/>
    </x:row>
    <x:row r="187" ht="15" hidden="0" customHeight="1">
      <x:c r="B187" s="50"/>
      <x:c r="N187" s="50"/>
      <x:c r="O187" s="50"/>
    </x:row>
    <x:row r="188" ht="15" hidden="0" customHeight="1">
      <x:c r="B188" s="50"/>
      <x:c r="N188" s="50"/>
      <x:c r="O188" s="50"/>
    </x:row>
    <x:row r="189" ht="15" hidden="0" customHeight="1">
      <x:c r="B189" s="50"/>
      <x:c r="N189" s="50"/>
      <x:c r="O189" s="50"/>
    </x:row>
    <x:row r="190" ht="15" hidden="0" customHeight="1">
      <x:c r="B190" s="50"/>
      <x:c r="N190" s="50"/>
      <x:c r="O190" s="50"/>
    </x:row>
    <x:row r="191" ht="15" hidden="0" customHeight="1">
      <x:c r="B191" s="50"/>
      <x:c r="N191" s="50"/>
      <x:c r="O191" s="50"/>
    </x:row>
    <x:row r="192" ht="15" hidden="0" customHeight="1">
      <x:c r="B192" s="50"/>
      <x:c r="N192" s="50"/>
      <x:c r="O192" s="50"/>
    </x:row>
    <x:row r="193" ht="15" hidden="0" customHeight="1">
      <x:c r="B193" s="50"/>
      <x:c r="N193" s="50"/>
      <x:c r="O193" s="50"/>
    </x:row>
    <x:row r="194" ht="15" hidden="0" customHeight="1">
      <x:c r="B194" s="50"/>
      <x:c r="N194" s="50"/>
      <x:c r="O194" s="50"/>
    </x:row>
    <x:row r="195" ht="15" hidden="0" customHeight="1">
      <x:c r="B195" s="50"/>
      <x:c r="N195" s="50"/>
      <x:c r="O195" s="50"/>
    </x:row>
    <x:row r="196" ht="15" hidden="0" customHeight="1">
      <x:c r="B196" s="50"/>
      <x:c r="N196" s="50"/>
      <x:c r="O196" s="50"/>
    </x:row>
    <x:row r="197" ht="15" hidden="0" customHeight="1">
      <x:c r="B197" s="50"/>
      <x:c r="N197" s="50"/>
      <x:c r="O197" s="50"/>
    </x:row>
    <x:row r="198" ht="15" hidden="0" customHeight="1">
      <x:c r="B198" s="50"/>
      <x:c r="N198" s="50"/>
      <x:c r="O198" s="50"/>
    </x:row>
    <x:row r="199" ht="15" hidden="0" customHeight="1">
      <x:c r="B199" s="50"/>
      <x:c r="N199" s="50"/>
      <x:c r="O199" s="50"/>
    </x:row>
    <x:row r="200" ht="15" hidden="0" customHeight="1">
      <x:c r="B200" s="50"/>
      <x:c r="N200" s="50"/>
      <x:c r="O200" s="50"/>
    </x:row>
    <x:row r="201" ht="15" hidden="0" customHeight="1">
      <x:c r="B201" s="50"/>
      <x:c r="N201" s="50"/>
      <x:c r="O201" s="50"/>
    </x:row>
    <x:row r="202" ht="15" hidden="0" customHeight="1">
      <x:c r="B202" s="50"/>
      <x:c r="N202" s="50"/>
      <x:c r="O202" s="50"/>
    </x:row>
    <x:row r="203" ht="15" hidden="0" customHeight="1">
      <x:c r="B203" s="50"/>
      <x:c r="N203" s="50"/>
      <x:c r="O203" s="50"/>
    </x:row>
    <x:row r="204" ht="15" hidden="0" customHeight="1">
      <x:c r="B204" s="50"/>
      <x:c r="N204" s="50"/>
      <x:c r="O204" s="50"/>
    </x:row>
    <x:row r="205" ht="15" hidden="0" customHeight="1">
      <x:c r="B205" s="50"/>
      <x:c r="N205" s="50"/>
      <x:c r="O205" s="50"/>
    </x:row>
    <x:row r="206" ht="15" hidden="0" customHeight="1">
      <x:c r="B206" s="50"/>
      <x:c r="N206" s="50"/>
      <x:c r="O206" s="50"/>
    </x:row>
    <x:row r="207" ht="15" hidden="0" customHeight="1">
      <x:c r="B207" s="50"/>
      <x:c r="N207" s="50"/>
      <x:c r="O207" s="50"/>
    </x:row>
    <x:row r="208" ht="15" hidden="0" customHeight="1">
      <x:c r="B208" s="50"/>
      <x:c r="N208" s="50"/>
      <x:c r="O208" s="50"/>
    </x:row>
    <x:row r="209" ht="15" hidden="0" customHeight="1">
      <x:c r="B209" s="50"/>
      <x:c r="N209" s="50"/>
      <x:c r="O209" s="50"/>
    </x:row>
    <x:row r="210" ht="15" hidden="0" customHeight="1">
      <x:c r="B210" s="50"/>
      <x:c r="N210" s="50"/>
      <x:c r="O210" s="50"/>
    </x:row>
    <x:row r="211" ht="15" hidden="0" customHeight="1">
      <x:c r="B211" s="50"/>
      <x:c r="N211" s="50"/>
      <x:c r="O211" s="50"/>
    </x:row>
    <x:row r="212" ht="15" hidden="0" customHeight="1">
      <x:c r="B212" s="50"/>
      <x:c r="N212" s="50"/>
      <x:c r="O212" s="50"/>
    </x:row>
    <x:row r="213" ht="15" hidden="0" customHeight="1">
      <x:c r="B213" s="50"/>
      <x:c r="N213" s="50"/>
      <x:c r="O213" s="50"/>
    </x:row>
    <x:row r="214" ht="15" hidden="0" customHeight="1">
      <x:c r="B214" s="50"/>
      <x:c r="N214" s="50"/>
      <x:c r="O214" s="50"/>
    </x:row>
    <x:row r="215" ht="15" hidden="0" customHeight="1">
      <x:c r="B215" s="50"/>
      <x:c r="N215" s="50"/>
      <x:c r="O215" s="50"/>
    </x:row>
    <x:row r="216" ht="15" hidden="0" customHeight="1">
      <x:c r="B216" s="50"/>
      <x:c r="N216" s="50"/>
      <x:c r="O216" s="50"/>
    </x:row>
    <x:row r="217" ht="15" hidden="0" customHeight="1">
      <x:c r="B217" s="50"/>
      <x:c r="N217" s="50"/>
      <x:c r="O217" s="50"/>
    </x:row>
    <x:row r="218" ht="15" hidden="0" customHeight="1">
      <x:c r="B218" s="50"/>
      <x:c r="N218" s="50"/>
      <x:c r="O218" s="50"/>
    </x:row>
    <x:row r="219" ht="15" hidden="0" customHeight="1">
      <x:c r="B219" s="50"/>
      <x:c r="N219" s="50"/>
      <x:c r="O219" s="50"/>
    </x:row>
    <x:row r="220" ht="15" hidden="0" customHeight="1">
      <x:c r="B220" s="50"/>
      <x:c r="N220" s="50"/>
      <x:c r="O220" s="50"/>
    </x:row>
    <x:row r="221" ht="15" hidden="0" customHeight="1">
      <x:c r="B221" s="50"/>
      <x:c r="N221" s="50"/>
      <x:c r="O221" s="50"/>
    </x:row>
    <x:row r="222" ht="15" hidden="0" customHeight="1">
      <x:c r="B222" s="50"/>
      <x:c r="N222" s="50"/>
      <x:c r="O222" s="50"/>
    </x:row>
    <x:row r="223" ht="15" hidden="0" customHeight="1">
      <x:c r="B223" s="50"/>
      <x:c r="N223" s="50"/>
      <x:c r="O223" s="50"/>
    </x:row>
    <x:row r="224" ht="15" hidden="0" customHeight="1">
      <x:c r="B224" s="50"/>
      <x:c r="N224" s="50"/>
      <x:c r="O224" s="50"/>
    </x:row>
    <x:row r="225" ht="15" hidden="0" customHeight="1">
      <x:c r="B225" s="50"/>
      <x:c r="N225" s="50"/>
      <x:c r="O225" s="50"/>
    </x:row>
    <x:row r="226" ht="15" hidden="0" customHeight="1">
      <x:c r="B226" s="50"/>
      <x:c r="N226" s="50"/>
      <x:c r="O226" s="50"/>
    </x:row>
    <x:row r="227" ht="15" hidden="0" customHeight="1">
      <x:c r="B227" s="50"/>
      <x:c r="N227" s="50"/>
      <x:c r="O227" s="50"/>
    </x:row>
    <x:row r="228" ht="15" hidden="0" customHeight="1">
      <x:c r="B228" s="50"/>
      <x:c r="N228" s="50"/>
      <x:c r="O228" s="50"/>
    </x:row>
    <x:row r="229" ht="15" hidden="0" customHeight="1">
      <x:c r="B229" s="50"/>
      <x:c r="N229" s="50"/>
      <x:c r="O229" s="50"/>
    </x:row>
    <x:row r="230" ht="15" hidden="0" customHeight="1">
      <x:c r="B230" s="50"/>
      <x:c r="N230" s="50"/>
      <x:c r="O230" s="50"/>
    </x:row>
    <x:row r="231" ht="15" hidden="0" customHeight="1">
      <x:c r="B231" s="50"/>
      <x:c r="N231" s="50"/>
      <x:c r="O231" s="50"/>
    </x:row>
    <x:row r="232" ht="15" hidden="0" customHeight="1">
      <x:c r="B232" s="50"/>
      <x:c r="N232" s="50"/>
      <x:c r="O232" s="50"/>
    </x:row>
    <x:row r="233" ht="15" hidden="0" customHeight="1">
      <x:c r="B233" s="50"/>
      <x:c r="N233" s="50"/>
      <x:c r="O233" s="50"/>
    </x:row>
    <x:row r="234" ht="15" hidden="0" customHeight="1">
      <x:c r="B234" s="50"/>
      <x:c r="N234" s="50"/>
      <x:c r="O234" s="50"/>
    </x:row>
    <x:row r="235" ht="15" hidden="0" customHeight="1">
      <x:c r="B235" s="50"/>
      <x:c r="N235" s="50"/>
      <x:c r="O235" s="50"/>
    </x:row>
    <x:row r="236" ht="15" hidden="0" customHeight="1">
      <x:c r="B236" s="50"/>
      <x:c r="N236" s="50"/>
      <x:c r="O236" s="50"/>
    </x:row>
    <x:row r="237" ht="15" hidden="0" customHeight="1">
      <x:c r="B237" s="50"/>
      <x:c r="N237" s="50"/>
      <x:c r="O237" s="50"/>
    </x:row>
    <x:row r="238" ht="15" hidden="0" customHeight="1">
      <x:c r="B238" s="50"/>
      <x:c r="N238" s="50"/>
      <x:c r="O238" s="50"/>
    </x:row>
    <x:row r="239" ht="15" hidden="0" customHeight="1">
      <x:c r="B239" s="50"/>
      <x:c r="N239" s="50"/>
      <x:c r="O239" s="50"/>
    </x:row>
    <x:row r="240" ht="15" hidden="0" customHeight="1">
      <x:c r="B240" s="50"/>
      <x:c r="N240" s="50"/>
      <x:c r="O240" s="50"/>
    </x:row>
    <x:row r="241" ht="15" hidden="0" customHeight="1">
      <x:c r="B241" s="50"/>
      <x:c r="N241" s="50"/>
      <x:c r="O241" s="50"/>
    </x:row>
    <x:row r="242" ht="15" hidden="0" customHeight="1">
      <x:c r="B242" s="50"/>
      <x:c r="N242" s="50"/>
      <x:c r="O242" s="50"/>
    </x:row>
    <x:row r="243" ht="15" hidden="0" customHeight="1">
      <x:c r="B243" s="50"/>
      <x:c r="N243" s="50"/>
      <x:c r="O243" s="50"/>
    </x:row>
    <x:row r="244" ht="15" hidden="0" customHeight="1">
      <x:c r="B244" s="50"/>
      <x:c r="N244" s="50"/>
      <x:c r="O244" s="50"/>
    </x:row>
    <x:row r="245" ht="15" hidden="0" customHeight="1">
      <x:c r="B245" s="50"/>
      <x:c r="N245" s="50"/>
      <x:c r="O245" s="50"/>
    </x:row>
    <x:row r="246" ht="15" hidden="0" customHeight="1">
      <x:c r="B246" s="50"/>
      <x:c r="N246" s="50"/>
      <x:c r="O246" s="50"/>
    </x:row>
    <x:row r="247" ht="15" hidden="0" customHeight="1">
      <x:c r="B247" s="50"/>
      <x:c r="N247" s="50"/>
      <x:c r="O247" s="50"/>
    </x:row>
    <x:row r="248" ht="15" hidden="0" customHeight="1">
      <x:c r="B248" s="50"/>
      <x:c r="N248" s="50"/>
      <x:c r="O248" s="50"/>
    </x:row>
    <x:row r="249" ht="15" hidden="0" customHeight="1">
      <x:c r="B249" s="50"/>
      <x:c r="N249" s="50"/>
      <x:c r="O249" s="50"/>
    </x:row>
    <x:row r="250" ht="15" hidden="0" customHeight="1">
      <x:c r="B250" s="50"/>
      <x:c r="N250" s="50"/>
      <x:c r="O250" s="50"/>
    </x:row>
    <x:row r="251" ht="15" hidden="0" customHeight="1">
      <x:c r="B251" s="50"/>
      <x:c r="N251" s="50"/>
      <x:c r="O251" s="50"/>
    </x:row>
    <x:row r="252" ht="15" hidden="0" customHeight="1">
      <x:c r="B252" s="50"/>
      <x:c r="N252" s="50"/>
      <x:c r="O252" s="50"/>
    </x:row>
    <x:row r="253" ht="15" hidden="0" customHeight="1">
      <x:c r="B253" s="50"/>
      <x:c r="N253" s="50"/>
      <x:c r="O253" s="50"/>
    </x:row>
    <x:row r="254" ht="15" hidden="0" customHeight="1">
      <x:c r="B254" s="50"/>
      <x:c r="N254" s="50"/>
      <x:c r="O254" s="50"/>
    </x:row>
    <x:row r="255" ht="15" hidden="0" customHeight="1">
      <x:c r="B255" s="50"/>
      <x:c r="N255" s="50"/>
      <x:c r="O255" s="50"/>
    </x:row>
    <x:row r="256" ht="15" hidden="0" customHeight="1">
      <x:c r="B256" s="50"/>
      <x:c r="N256" s="50"/>
      <x:c r="O256" s="50"/>
    </x:row>
    <x:row r="257" ht="15" hidden="0" customHeight="1">
      <x:c r="B257" s="50"/>
      <x:c r="N257" s="50"/>
      <x:c r="O257" s="50"/>
    </x:row>
    <x:row r="258" ht="15" hidden="0" customHeight="1">
      <x:c r="B258" s="50"/>
      <x:c r="N258" s="50"/>
      <x:c r="O258" s="50"/>
    </x:row>
    <x:row r="259" ht="15" hidden="0" customHeight="1">
      <x:c r="B259" s="50"/>
      <x:c r="N259" s="50"/>
      <x:c r="O259" s="50"/>
    </x:row>
    <x:row r="260" ht="15" hidden="0" customHeight="1">
      <x:c r="B260" s="50"/>
      <x:c r="N260" s="50"/>
      <x:c r="O260" s="50"/>
    </x:row>
    <x:row r="261" ht="15" hidden="0" customHeight="1">
      <x:c r="B261" s="50"/>
      <x:c r="N261" s="50"/>
      <x:c r="O261" s="50"/>
    </x:row>
    <x:row r="262" ht="15" hidden="0" customHeight="1">
      <x:c r="B262" s="50"/>
      <x:c r="N262" s="50"/>
      <x:c r="O262" s="50"/>
    </x:row>
    <x:row r="263" ht="15" hidden="0" customHeight="1">
      <x:c r="B263" s="50"/>
      <x:c r="N263" s="50"/>
      <x:c r="O263" s="50"/>
    </x:row>
    <x:row r="264" ht="15" hidden="0" customHeight="1">
      <x:c r="B264" s="50"/>
      <x:c r="N264" s="50"/>
      <x:c r="O264" s="50"/>
    </x:row>
    <x:row r="265" ht="15" hidden="0" customHeight="1">
      <x:c r="B265" s="50"/>
      <x:c r="N265" s="50"/>
      <x:c r="O265" s="50"/>
    </x:row>
    <x:row r="266" ht="15" hidden="0" customHeight="1">
      <x:c r="B266" s="50"/>
      <x:c r="N266" s="50"/>
      <x:c r="O266" s="50"/>
    </x:row>
    <x:row r="267" ht="15" hidden="0" customHeight="1">
      <x:c r="B267" s="50"/>
      <x:c r="N267" s="50"/>
      <x:c r="O267" s="50"/>
    </x:row>
    <x:row r="268" ht="15" hidden="0" customHeight="1">
      <x:c r="B268" s="50"/>
      <x:c r="N268" s="50"/>
      <x:c r="O268" s="50"/>
    </x:row>
    <x:row r="269" ht="15" hidden="0" customHeight="1">
      <x:c r="B269" s="50"/>
      <x:c r="N269" s="50"/>
      <x:c r="O269" s="50"/>
    </x:row>
    <x:row r="270" ht="15" hidden="0" customHeight="1">
      <x:c r="B270" s="50"/>
      <x:c r="N270" s="50"/>
      <x:c r="O270" s="50"/>
    </x:row>
    <x:row r="271" ht="15" hidden="0" customHeight="1">
      <x:c r="B271" s="50"/>
      <x:c r="N271" s="50"/>
      <x:c r="O271" s="50"/>
    </x:row>
    <x:row r="272" ht="15" hidden="0" customHeight="1">
      <x:c r="B272" s="50"/>
      <x:c r="N272" s="50"/>
      <x:c r="O272" s="50"/>
    </x:row>
    <x:row r="273" ht="15" hidden="0" customHeight="1">
      <x:c r="B273" s="50"/>
      <x:c r="N273" s="50"/>
      <x:c r="O273" s="50"/>
    </x:row>
    <x:row r="274" ht="15" hidden="0" customHeight="1">
      <x:c r="B274" s="50"/>
      <x:c r="N274" s="50"/>
      <x:c r="O274" s="50"/>
    </x:row>
    <x:row r="275" ht="15" hidden="0" customHeight="1">
      <x:c r="B275" s="50"/>
      <x:c r="N275" s="50"/>
      <x:c r="O275" s="50"/>
    </x:row>
    <x:row r="276" ht="15" hidden="0" customHeight="1">
      <x:c r="B276" s="50"/>
      <x:c r="N276" s="50"/>
      <x:c r="O276" s="50"/>
    </x:row>
    <x:row r="277" ht="15" hidden="0" customHeight="1">
      <x:c r="B277" s="50"/>
      <x:c r="N277" s="50"/>
      <x:c r="O277" s="50"/>
    </x:row>
    <x:row r="278" ht="15" hidden="0" customHeight="1">
      <x:c r="B278" s="50"/>
      <x:c r="N278" s="50"/>
      <x:c r="O278" s="50"/>
    </x:row>
    <x:row r="279" ht="15" hidden="0" customHeight="1">
      <x:c r="B279" s="50"/>
      <x:c r="N279" s="50"/>
      <x:c r="O279" s="50"/>
    </x:row>
    <x:row r="280" ht="15" hidden="0" customHeight="1">
      <x:c r="B280" s="50"/>
      <x:c r="N280" s="50"/>
      <x:c r="O280" s="50"/>
    </x:row>
    <x:row r="281" ht="15" hidden="0" customHeight="1">
      <x:c r="B281" s="50"/>
      <x:c r="N281" s="50"/>
      <x:c r="O281" s="50"/>
    </x:row>
    <x:row r="282" ht="15" hidden="0" customHeight="1">
      <x:c r="B282" s="50"/>
      <x:c r="N282" s="50"/>
      <x:c r="O282" s="50"/>
    </x:row>
    <x:row r="283" ht="15" hidden="0" customHeight="1">
      <x:c r="B283" s="50"/>
      <x:c r="N283" s="50"/>
      <x:c r="O283" s="50"/>
    </x:row>
    <x:row r="284" ht="15" hidden="0" customHeight="1">
      <x:c r="B284" s="50"/>
      <x:c r="N284" s="50"/>
      <x:c r="O284" s="50"/>
    </x:row>
    <x:row r="285" ht="15" hidden="0" customHeight="1">
      <x:c r="B285" s="50"/>
      <x:c r="N285" s="50"/>
      <x:c r="O285" s="50"/>
    </x:row>
    <x:row r="286" ht="15" hidden="0" customHeight="1">
      <x:c r="B286" s="50"/>
      <x:c r="N286" s="50"/>
      <x:c r="O286" s="50"/>
    </x:row>
    <x:row r="287" ht="15" hidden="0" customHeight="1">
      <x:c r="B287" s="50"/>
      <x:c r="N287" s="50"/>
      <x:c r="O287" s="50"/>
    </x:row>
    <x:row r="288" ht="15" hidden="0" customHeight="1">
      <x:c r="B288" s="50"/>
      <x:c r="N288" s="50"/>
      <x:c r="O288" s="50"/>
    </x:row>
    <x:row r="289" ht="15" hidden="0" customHeight="1">
      <x:c r="B289" s="50"/>
      <x:c r="N289" s="50"/>
      <x:c r="O289" s="50"/>
    </x:row>
    <x:row r="290" ht="15" hidden="0" customHeight="1">
      <x:c r="B290" s="50"/>
      <x:c r="N290" s="50"/>
      <x:c r="O290" s="50"/>
    </x:row>
    <x:row r="291" ht="15" hidden="0" customHeight="1">
      <x:c r="B291" s="50"/>
      <x:c r="N291" s="50"/>
      <x:c r="O291" s="50"/>
    </x:row>
    <x:row r="292" ht="15" hidden="0" customHeight="1">
      <x:c r="B292" s="50"/>
      <x:c r="N292" s="50"/>
      <x:c r="O292" s="50"/>
    </x:row>
    <x:row r="293" ht="15" hidden="0" customHeight="1">
      <x:c r="B293" s="50"/>
      <x:c r="N293" s="50"/>
      <x:c r="O293" s="50"/>
    </x:row>
    <x:row r="294" ht="15" hidden="0" customHeight="1">
      <x:c r="B294" s="50"/>
      <x:c r="N294" s="50"/>
      <x:c r="O294" s="50"/>
    </x:row>
    <x:row r="295" ht="15" hidden="0" customHeight="1">
      <x:c r="B295" s="50"/>
      <x:c r="N295" s="50"/>
      <x:c r="O295" s="50"/>
    </x:row>
    <x:row r="296" ht="15" hidden="0" customHeight="1">
      <x:c r="B296" s="50"/>
      <x:c r="N296" s="50"/>
      <x:c r="O296" s="50"/>
    </x:row>
    <x:row r="297" ht="15" hidden="0" customHeight="1">
      <x:c r="B297" s="50"/>
      <x:c r="N297" s="50"/>
      <x:c r="O297" s="50"/>
    </x:row>
    <x:row r="298" ht="15" hidden="0" customHeight="1">
      <x:c r="B298" s="50"/>
      <x:c r="N298" s="50"/>
      <x:c r="O298" s="50"/>
    </x:row>
    <x:row r="299" ht="15" hidden="0" customHeight="1">
      <x:c r="B299" s="50"/>
      <x:c r="N299" s="50"/>
      <x:c r="O299" s="50"/>
    </x:row>
    <x:row r="300" ht="15" hidden="0" customHeight="1">
      <x:c r="B300" s="50"/>
      <x:c r="N300" s="50"/>
      <x:c r="O300" s="50"/>
    </x:row>
    <x:row r="301" ht="15" hidden="0" customHeight="1">
      <x:c r="B301" s="50"/>
      <x:c r="N301" s="50"/>
      <x:c r="O301" s="50"/>
    </x:row>
    <x:row r="302" ht="15" hidden="0" customHeight="1">
      <x:c r="B302" s="50"/>
      <x:c r="N302" s="50"/>
      <x:c r="O302" s="50"/>
    </x:row>
    <x:row r="303" ht="15" hidden="0" customHeight="1">
      <x:c r="B303" s="50"/>
      <x:c r="N303" s="50"/>
      <x:c r="O303" s="50"/>
    </x:row>
    <x:row r="304" ht="15" hidden="0" customHeight="1">
      <x:c r="B304" s="50"/>
      <x:c r="N304" s="50"/>
      <x:c r="O304" s="50"/>
    </x:row>
    <x:row r="305" ht="15" hidden="0" customHeight="1">
      <x:c r="B305" s="50"/>
      <x:c r="N305" s="50"/>
      <x:c r="O305" s="50"/>
    </x:row>
    <x:row r="306" ht="15" hidden="0" customHeight="1">
      <x:c r="B306" s="50"/>
      <x:c r="N306" s="50"/>
      <x:c r="O306" s="50"/>
    </x:row>
    <x:row r="307" ht="15" hidden="0" customHeight="1">
      <x:c r="B307" s="50"/>
      <x:c r="N307" s="50"/>
      <x:c r="O307" s="50"/>
    </x:row>
    <x:row r="308" ht="15" hidden="0" customHeight="1">
      <x:c r="B308" s="50"/>
      <x:c r="N308" s="50"/>
      <x:c r="O308" s="50"/>
    </x:row>
    <x:row r="309" ht="15" hidden="0" customHeight="1">
      <x:c r="B309" s="50"/>
      <x:c r="N309" s="50"/>
      <x:c r="O309" s="50"/>
    </x:row>
    <x:row r="310" ht="15" hidden="0" customHeight="1">
      <x:c r="B310" s="50"/>
      <x:c r="N310" s="50"/>
      <x:c r="O310" s="50"/>
    </x:row>
    <x:row r="311" ht="15" hidden="0" customHeight="1">
      <x:c r="B311" s="50"/>
      <x:c r="N311" s="50"/>
      <x:c r="O311" s="50"/>
    </x:row>
    <x:row r="312" ht="15" hidden="0" customHeight="1">
      <x:c r="B312" s="50"/>
      <x:c r="N312" s="50"/>
      <x:c r="O312" s="50"/>
    </x:row>
    <x:row r="313" ht="15" hidden="0" customHeight="1">
      <x:c r="B313" s="50"/>
      <x:c r="N313" s="50"/>
      <x:c r="O313" s="50"/>
    </x:row>
    <x:row r="314" ht="15" hidden="0" customHeight="1">
      <x:c r="B314" s="50"/>
      <x:c r="N314" s="50"/>
      <x:c r="O314" s="50"/>
    </x:row>
    <x:row r="315" ht="15" hidden="0" customHeight="1">
      <x:c r="B315" s="50"/>
      <x:c r="N315" s="50"/>
      <x:c r="O315" s="50"/>
    </x:row>
    <x:row r="316" ht="15" hidden="0" customHeight="1">
      <x:c r="B316" s="50"/>
      <x:c r="N316" s="50"/>
      <x:c r="O316" s="50"/>
    </x:row>
    <x:row r="317" ht="15" hidden="0" customHeight="1">
      <x:c r="B317" s="50"/>
      <x:c r="N317" s="50"/>
      <x:c r="O317" s="50"/>
    </x:row>
    <x:row r="318" ht="15" hidden="0" customHeight="1">
      <x:c r="B318" s="50"/>
      <x:c r="N318" s="50"/>
      <x:c r="O318" s="50"/>
    </x:row>
    <x:row r="319" ht="15" hidden="0" customHeight="1">
      <x:c r="B319" s="50"/>
      <x:c r="N319" s="50"/>
      <x:c r="O319" s="50"/>
    </x:row>
    <x:row r="320" ht="15" hidden="0" customHeight="1">
      <x:c r="B320" s="50"/>
      <x:c r="N320" s="50"/>
      <x:c r="O320" s="50"/>
    </x:row>
    <x:row r="321" ht="15" hidden="0" customHeight="1">
      <x:c r="B321" s="50"/>
      <x:c r="N321" s="50"/>
      <x:c r="O321" s="50"/>
    </x:row>
    <x:row r="322" ht="15" hidden="0" customHeight="1">
      <x:c r="B322" s="50"/>
      <x:c r="N322" s="50"/>
      <x:c r="O322" s="50"/>
    </x:row>
    <x:row r="323" ht="15" hidden="0" customHeight="1">
      <x:c r="B323" s="50"/>
      <x:c r="N323" s="50"/>
      <x:c r="O323" s="50"/>
    </x:row>
    <x:row r="324" ht="15" hidden="0" customHeight="1">
      <x:c r="B324" s="50"/>
      <x:c r="N324" s="50"/>
      <x:c r="O324" s="50"/>
    </x:row>
    <x:row r="325" ht="15" hidden="0" customHeight="1">
      <x:c r="B325" s="50"/>
      <x:c r="N325" s="50"/>
      <x:c r="O325" s="50"/>
    </x:row>
    <x:row r="326" ht="15" hidden="0" customHeight="1">
      <x:c r="B326" s="50"/>
      <x:c r="N326" s="50"/>
      <x:c r="O326" s="50"/>
    </x:row>
    <x:row r="327" ht="15" hidden="0" customHeight="1">
      <x:c r="B327" s="50"/>
      <x:c r="N327" s="50"/>
      <x:c r="O327" s="50"/>
    </x:row>
    <x:row r="328" ht="15" hidden="0" customHeight="1">
      <x:c r="B328" s="50"/>
      <x:c r="N328" s="50"/>
      <x:c r="O328" s="50"/>
    </x:row>
    <x:row r="329" ht="15" hidden="0" customHeight="1">
      <x:c r="B329" s="50"/>
      <x:c r="N329" s="50"/>
      <x:c r="O329" s="50"/>
    </x:row>
    <x:row r="330" ht="15" hidden="0" customHeight="1">
      <x:c r="B330" s="50"/>
      <x:c r="N330" s="50"/>
      <x:c r="O330" s="50"/>
    </x:row>
    <x:row r="331" ht="15" hidden="0" customHeight="1">
      <x:c r="B331" s="50"/>
      <x:c r="N331" s="50"/>
      <x:c r="O331" s="50"/>
    </x:row>
    <x:row r="332" ht="15" hidden="0" customHeight="1">
      <x:c r="B332" s="50"/>
      <x:c r="N332" s="50"/>
      <x:c r="O332" s="50"/>
    </x:row>
    <x:row r="333" ht="15" hidden="0" customHeight="1">
      <x:c r="B333" s="50"/>
      <x:c r="N333" s="50"/>
      <x:c r="O333" s="50"/>
    </x:row>
    <x:row r="334" ht="15" hidden="0" customHeight="1">
      <x:c r="B334" s="50"/>
      <x:c r="N334" s="50"/>
      <x:c r="O334" s="50"/>
    </x:row>
    <x:row r="335" ht="15" hidden="0" customHeight="1">
      <x:c r="B335" s="50"/>
      <x:c r="N335" s="50"/>
      <x:c r="O335" s="50"/>
    </x:row>
    <x:row r="336" ht="15" hidden="0" customHeight="1">
      <x:c r="B336" s="50"/>
      <x:c r="N336" s="50"/>
      <x:c r="O336" s="50"/>
    </x:row>
    <x:row r="337" ht="15" hidden="0" customHeight="1">
      <x:c r="B337" s="50"/>
      <x:c r="N337" s="50"/>
      <x:c r="O337" s="50"/>
    </x:row>
    <x:row r="338" ht="15" hidden="0" customHeight="1">
      <x:c r="B338" s="50"/>
      <x:c r="N338" s="50"/>
      <x:c r="O338" s="50"/>
    </x:row>
    <x:row r="339" ht="15" hidden="0" customHeight="1">
      <x:c r="B339" s="50"/>
      <x:c r="N339" s="50"/>
      <x:c r="O339" s="50"/>
    </x:row>
    <x:row r="340" ht="15" hidden="0" customHeight="1">
      <x:c r="B340" s="50"/>
      <x:c r="N340" s="50"/>
      <x:c r="O340" s="50"/>
    </x:row>
    <x:row r="341" ht="15" hidden="0" customHeight="1">
      <x:c r="B341" s="50"/>
      <x:c r="N341" s="50"/>
      <x:c r="O341" s="50"/>
    </x:row>
    <x:row r="342" ht="15" hidden="0" customHeight="1">
      <x:c r="B342" s="50"/>
      <x:c r="N342" s="50"/>
      <x:c r="O342" s="50"/>
    </x:row>
    <x:row r="343" ht="15" hidden="0" customHeight="1">
      <x:c r="B343" s="50"/>
      <x:c r="N343" s="50"/>
      <x:c r="O343" s="50"/>
    </x:row>
    <x:row r="344" ht="15" hidden="0" customHeight="1">
      <x:c r="B344" s="50"/>
      <x:c r="N344" s="50"/>
      <x:c r="O344" s="50"/>
    </x:row>
    <x:row r="345" ht="15" hidden="0" customHeight="1">
      <x:c r="B345" s="50"/>
      <x:c r="N345" s="50"/>
      <x:c r="O345" s="50"/>
    </x:row>
    <x:row r="346" ht="15" hidden="0" customHeight="1">
      <x:c r="B346" s="50"/>
      <x:c r="N346" s="50"/>
      <x:c r="O346" s="50"/>
    </x:row>
    <x:row r="347" ht="15" hidden="0" customHeight="1">
      <x:c r="B347" s="50"/>
      <x:c r="N347" s="50"/>
      <x:c r="O347" s="50"/>
    </x:row>
    <x:row r="348" ht="15" hidden="0" customHeight="1">
      <x:c r="B348" s="50"/>
      <x:c r="N348" s="50"/>
      <x:c r="O348" s="50"/>
    </x:row>
    <x:row r="349" ht="15" hidden="0" customHeight="1">
      <x:c r="B349" s="50"/>
      <x:c r="N349" s="50"/>
      <x:c r="O349" s="50"/>
    </x:row>
    <x:row r="350" ht="15" hidden="0" customHeight="1">
      <x:c r="B350" s="50"/>
      <x:c r="N350" s="50"/>
      <x:c r="O350" s="50"/>
    </x:row>
    <x:row r="351" ht="15" hidden="0" customHeight="1">
      <x:c r="B351" s="50"/>
      <x:c r="N351" s="50"/>
      <x:c r="O351" s="50"/>
    </x:row>
    <x:row r="352" ht="15" hidden="0" customHeight="1">
      <x:c r="B352" s="50"/>
      <x:c r="N352" s="50"/>
      <x:c r="O352" s="50"/>
    </x:row>
    <x:row r="353" ht="15" hidden="0" customHeight="1">
      <x:c r="B353" s="50"/>
      <x:c r="N353" s="50"/>
      <x:c r="O353" s="50"/>
    </x:row>
    <x:row r="354" ht="15" hidden="0" customHeight="1">
      <x:c r="B354" s="50"/>
      <x:c r="N354" s="50"/>
      <x:c r="O354" s="50"/>
    </x:row>
    <x:row r="355" ht="15" hidden="0" customHeight="1">
      <x:c r="B355" s="50"/>
      <x:c r="N355" s="50"/>
      <x:c r="O355" s="50"/>
    </x:row>
    <x:row r="356" ht="15" hidden="0" customHeight="1">
      <x:c r="B356" s="50"/>
      <x:c r="N356" s="50"/>
      <x:c r="O356" s="50"/>
    </x:row>
    <x:row r="357" ht="15" hidden="0" customHeight="1">
      <x:c r="B357" s="50"/>
      <x:c r="N357" s="50"/>
      <x:c r="O357" s="50"/>
    </x:row>
    <x:row r="358" ht="15" hidden="0" customHeight="1">
      <x:c r="B358" s="50"/>
      <x:c r="N358" s="50"/>
      <x:c r="O358" s="50"/>
    </x:row>
    <x:row r="359" ht="15" hidden="0" customHeight="1">
      <x:c r="B359" s="50"/>
      <x:c r="N359" s="50"/>
      <x:c r="O359" s="50"/>
    </x:row>
    <x:row r="360" ht="15" hidden="0" customHeight="1">
      <x:c r="B360" s="50"/>
      <x:c r="N360" s="50"/>
      <x:c r="O360" s="50"/>
    </x:row>
    <x:row r="361" ht="15" hidden="0" customHeight="1">
      <x:c r="B361" s="50"/>
      <x:c r="N361" s="50"/>
      <x:c r="O361" s="50"/>
    </x:row>
    <x:row r="362" ht="15" hidden="0" customHeight="1">
      <x:c r="B362" s="50"/>
      <x:c r="N362" s="50"/>
      <x:c r="O362" s="50"/>
    </x:row>
    <x:row r="363" ht="15" hidden="0" customHeight="1">
      <x:c r="B363" s="50"/>
      <x:c r="N363" s="50"/>
      <x:c r="O363" s="50"/>
    </x:row>
    <x:row r="364" ht="15" hidden="0" customHeight="1">
      <x:c r="B364" s="50"/>
      <x:c r="N364" s="50"/>
      <x:c r="O364" s="50"/>
    </x:row>
    <x:row r="365" ht="15" hidden="0" customHeight="1">
      <x:c r="B365" s="50"/>
      <x:c r="N365" s="50"/>
      <x:c r="O365" s="50"/>
    </x:row>
    <x:row r="366" ht="15" hidden="0" customHeight="1">
      <x:c r="B366" s="50"/>
      <x:c r="N366" s="50"/>
      <x:c r="O366" s="50"/>
    </x:row>
    <x:row r="367" ht="15" hidden="0" customHeight="1">
      <x:c r="B367" s="50"/>
      <x:c r="N367" s="50"/>
      <x:c r="O367" s="50"/>
    </x:row>
    <x:row r="368" ht="15" hidden="0" customHeight="1">
      <x:c r="B368" s="50"/>
      <x:c r="N368" s="50"/>
      <x:c r="O368" s="50"/>
    </x:row>
    <x:row r="369" ht="15" hidden="0" customHeight="1">
      <x:c r="B369" s="50"/>
      <x:c r="N369" s="50"/>
      <x:c r="O369" s="50"/>
    </x:row>
    <x:row r="370" ht="15" hidden="0" customHeight="1">
      <x:c r="B370" s="50"/>
      <x:c r="N370" s="50"/>
      <x:c r="O370" s="50"/>
    </x:row>
    <x:row r="371" ht="15" hidden="0" customHeight="1">
      <x:c r="B371" s="50"/>
      <x:c r="N371" s="50"/>
      <x:c r="O371" s="50"/>
    </x:row>
    <x:row r="372" ht="15" hidden="0" customHeight="1">
      <x:c r="B372" s="50"/>
      <x:c r="N372" s="50"/>
      <x:c r="O372" s="50"/>
    </x:row>
    <x:row r="373" ht="15" hidden="0" customHeight="1">
      <x:c r="B373" s="50"/>
      <x:c r="N373" s="50"/>
      <x:c r="O373" s="50"/>
    </x:row>
    <x:row r="374" ht="15" hidden="0" customHeight="1">
      <x:c r="B374" s="50"/>
      <x:c r="N374" s="50"/>
      <x:c r="O374" s="50"/>
    </x:row>
    <x:row r="375" ht="15" hidden="0" customHeight="1">
      <x:c r="B375" s="50"/>
      <x:c r="N375" s="50"/>
      <x:c r="O375" s="50"/>
    </x:row>
    <x:row r="376" ht="15" hidden="0" customHeight="1">
      <x:c r="B376" s="50"/>
      <x:c r="N376" s="50"/>
      <x:c r="O376" s="50"/>
    </x:row>
    <x:row r="377" ht="15" hidden="0" customHeight="1">
      <x:c r="B377" s="50"/>
      <x:c r="N377" s="50"/>
      <x:c r="O377" s="50"/>
    </x:row>
    <x:row r="378" ht="15" hidden="0" customHeight="1">
      <x:c r="B378" s="50"/>
      <x:c r="N378" s="50"/>
      <x:c r="O378" s="50"/>
    </x:row>
    <x:row r="379" ht="15" hidden="0" customHeight="1">
      <x:c r="B379" s="50"/>
      <x:c r="N379" s="50"/>
      <x:c r="O379" s="50"/>
    </x:row>
    <x:row r="380" ht="15" hidden="0" customHeight="1">
      <x:c r="B380" s="50"/>
      <x:c r="N380" s="50"/>
      <x:c r="O380" s="50"/>
    </x:row>
    <x:row r="381" ht="15" hidden="0" customHeight="1">
      <x:c r="B381" s="50"/>
      <x:c r="N381" s="50"/>
      <x:c r="O381" s="50"/>
    </x:row>
    <x:row r="382" ht="15" hidden="0" customHeight="1">
      <x:c r="B382" s="50"/>
      <x:c r="N382" s="50"/>
      <x:c r="O382" s="50"/>
    </x:row>
    <x:row r="383" ht="15" hidden="0" customHeight="1">
      <x:c r="B383" s="50"/>
      <x:c r="N383" s="50"/>
      <x:c r="O383" s="50"/>
    </x:row>
    <x:row r="384" ht="15" hidden="0" customHeight="1">
      <x:c r="B384" s="50"/>
      <x:c r="N384" s="50"/>
      <x:c r="O384" s="50"/>
    </x:row>
    <x:row r="385" ht="15" hidden="0" customHeight="1">
      <x:c r="B385" s="50"/>
      <x:c r="N385" s="50"/>
      <x:c r="O385" s="50"/>
    </x:row>
    <x:row r="386" ht="15" hidden="0" customHeight="1">
      <x:c r="B386" s="50"/>
      <x:c r="N386" s="50"/>
      <x:c r="O386" s="50"/>
    </x:row>
    <x:row r="387" ht="15" hidden="0" customHeight="1">
      <x:c r="B387" s="50"/>
      <x:c r="N387" s="50"/>
      <x:c r="O387" s="50"/>
    </x:row>
    <x:row r="388" ht="15" hidden="0" customHeight="1">
      <x:c r="B388" s="50"/>
      <x:c r="N388" s="50"/>
      <x:c r="O388" s="50"/>
    </x:row>
    <x:row r="389" ht="15" hidden="0" customHeight="1">
      <x:c r="B389" s="50"/>
      <x:c r="N389" s="50"/>
      <x:c r="O389" s="50"/>
    </x:row>
    <x:row r="390" ht="15" hidden="0" customHeight="1">
      <x:c r="B390" s="50"/>
      <x:c r="N390" s="50"/>
      <x:c r="O390" s="50"/>
    </x:row>
    <x:row r="391" ht="15" hidden="0" customHeight="1">
      <x:c r="B391" s="50"/>
      <x:c r="N391" s="50"/>
      <x:c r="O391" s="50"/>
    </x:row>
    <x:row r="392" ht="15" hidden="0" customHeight="1">
      <x:c r="B392" s="50"/>
      <x:c r="N392" s="50"/>
      <x:c r="O392" s="50"/>
    </x:row>
    <x:row r="393" ht="15" hidden="0" customHeight="1">
      <x:c r="B393" s="50"/>
      <x:c r="N393" s="50"/>
      <x:c r="O393" s="50"/>
    </x:row>
    <x:row r="394" ht="15" hidden="0" customHeight="1">
      <x:c r="B394" s="50"/>
      <x:c r="N394" s="50"/>
      <x:c r="O394" s="50"/>
    </x:row>
    <x:row r="395" ht="15" hidden="0" customHeight="1">
      <x:c r="B395" s="50"/>
      <x:c r="N395" s="50"/>
      <x:c r="O395" s="50"/>
    </x:row>
    <x:row r="396" ht="15" hidden="0" customHeight="1">
      <x:c r="B396" s="50"/>
      <x:c r="N396" s="50"/>
      <x:c r="O396" s="50"/>
    </x:row>
    <x:row r="397" ht="15" hidden="0" customHeight="1">
      <x:c r="B397" s="50"/>
      <x:c r="N397" s="50"/>
      <x:c r="O397" s="50"/>
    </x:row>
    <x:row r="398" ht="15" hidden="0" customHeight="1">
      <x:c r="B398" s="50"/>
      <x:c r="N398" s="50"/>
      <x:c r="O398" s="50"/>
    </x:row>
    <x:row r="399" ht="15" hidden="0" customHeight="1">
      <x:c r="B399" s="50"/>
      <x:c r="N399" s="50"/>
      <x:c r="O399" s="50"/>
    </x:row>
    <x:row r="400" ht="15" hidden="0" customHeight="1">
      <x:c r="B400" s="50"/>
      <x:c r="N400" s="50"/>
      <x:c r="O400" s="50"/>
    </x:row>
    <x:row r="401" ht="15" hidden="0" customHeight="1">
      <x:c r="B401" s="50"/>
      <x:c r="N401" s="50"/>
      <x:c r="O401" s="50"/>
    </x:row>
    <x:row r="402" ht="15" hidden="0" customHeight="1">
      <x:c r="B402" s="50"/>
      <x:c r="N402" s="50"/>
      <x:c r="O402" s="50"/>
    </x:row>
    <x:row r="403" ht="15" hidden="0" customHeight="1">
      <x:c r="B403" s="50"/>
      <x:c r="N403" s="50"/>
      <x:c r="O403" s="50"/>
    </x:row>
    <x:row r="404" ht="15" hidden="0" customHeight="1">
      <x:c r="B404" s="50"/>
      <x:c r="N404" s="50"/>
      <x:c r="O404" s="50"/>
    </x:row>
    <x:row r="405" ht="15" hidden="0" customHeight="1">
      <x:c r="B405" s="50"/>
      <x:c r="N405" s="50"/>
      <x:c r="O405" s="50"/>
    </x:row>
    <x:row r="406" ht="15" hidden="0" customHeight="1">
      <x:c r="B406" s="50"/>
      <x:c r="N406" s="50"/>
      <x:c r="O406" s="50"/>
    </x:row>
    <x:row r="407" ht="15" hidden="0" customHeight="1">
      <x:c r="B407" s="50"/>
      <x:c r="N407" s="50"/>
      <x:c r="O407" s="50"/>
    </x:row>
    <x:row r="408" ht="15" hidden="0" customHeight="1">
      <x:c r="B408" s="50"/>
      <x:c r="N408" s="50"/>
      <x:c r="O408" s="50"/>
    </x:row>
    <x:row r="409" ht="15" hidden="0" customHeight="1">
      <x:c r="B409" s="50"/>
      <x:c r="N409" s="50"/>
      <x:c r="O409" s="50"/>
    </x:row>
    <x:row r="410" ht="15" hidden="0" customHeight="1">
      <x:c r="B410" s="50"/>
      <x:c r="N410" s="50"/>
      <x:c r="O410" s="50"/>
    </x:row>
    <x:row r="411" ht="15" hidden="0" customHeight="1">
      <x:c r="B411" s="50"/>
      <x:c r="N411" s="50"/>
      <x:c r="O411" s="50"/>
    </x:row>
    <x:row r="412" ht="15" hidden="0" customHeight="1">
      <x:c r="B412" s="50"/>
      <x:c r="N412" s="50"/>
      <x:c r="O412" s="50"/>
    </x:row>
    <x:row r="413" ht="15" hidden="0" customHeight="1">
      <x:c r="B413" s="50"/>
      <x:c r="N413" s="50"/>
      <x:c r="O413" s="50"/>
    </x:row>
    <x:row r="414" ht="15" hidden="0" customHeight="1">
      <x:c r="B414" s="50"/>
      <x:c r="N414" s="50"/>
      <x:c r="O414" s="50"/>
    </x:row>
    <x:row r="415" ht="15" hidden="0" customHeight="1">
      <x:c r="B415" s="50"/>
      <x:c r="N415" s="50"/>
      <x:c r="O415" s="50"/>
    </x:row>
    <x:row r="416" ht="15" hidden="0" customHeight="1">
      <x:c r="B416" s="50"/>
      <x:c r="N416" s="50"/>
      <x:c r="O416" s="50"/>
    </x:row>
    <x:row r="417" ht="15" hidden="0" customHeight="1">
      <x:c r="B417" s="50"/>
      <x:c r="N417" s="50"/>
      <x:c r="O417" s="50"/>
    </x:row>
    <x:row r="418" ht="15" hidden="0" customHeight="1">
      <x:c r="B418" s="50"/>
      <x:c r="N418" s="50"/>
      <x:c r="O418" s="50"/>
    </x:row>
    <x:row r="419" ht="15" hidden="0" customHeight="1">
      <x:c r="B419" s="50"/>
      <x:c r="N419" s="50"/>
      <x:c r="O419" s="50"/>
    </x:row>
    <x:row r="420" ht="15" hidden="0" customHeight="1">
      <x:c r="B420" s="50"/>
      <x:c r="N420" s="50"/>
      <x:c r="O420" s="50"/>
    </x:row>
    <x:row r="421" ht="15" hidden="0" customHeight="1">
      <x:c r="B421" s="50"/>
      <x:c r="N421" s="50"/>
      <x:c r="O421" s="50"/>
    </x:row>
    <x:row r="422" ht="15" hidden="0" customHeight="1">
      <x:c r="B422" s="50"/>
      <x:c r="N422" s="50"/>
      <x:c r="O422" s="50"/>
    </x:row>
    <x:row r="423" ht="15" hidden="0" customHeight="1">
      <x:c r="B423" s="50"/>
      <x:c r="N423" s="50"/>
      <x:c r="O423" s="50"/>
    </x:row>
    <x:row r="424" ht="15" hidden="0" customHeight="1">
      <x:c r="B424" s="50"/>
      <x:c r="N424" s="50"/>
      <x:c r="O424" s="50"/>
    </x:row>
    <x:row r="425" ht="15" hidden="0" customHeight="1">
      <x:c r="B425" s="50"/>
      <x:c r="N425" s="50"/>
      <x:c r="O425" s="50"/>
    </x:row>
    <x:row r="426" ht="15" hidden="0" customHeight="1">
      <x:c r="B426" s="50"/>
      <x:c r="N426" s="50"/>
      <x:c r="O426" s="50"/>
    </x:row>
    <x:row r="427" ht="15" hidden="0" customHeight="1">
      <x:c r="B427" s="50"/>
      <x:c r="N427" s="50"/>
      <x:c r="O427" s="50"/>
    </x:row>
    <x:row r="428" ht="15" hidden="0" customHeight="1">
      <x:c r="B428" s="50"/>
      <x:c r="N428" s="50"/>
      <x:c r="O428" s="50"/>
    </x:row>
    <x:row r="429" ht="15" hidden="0" customHeight="1">
      <x:c r="B429" s="50"/>
      <x:c r="N429" s="50"/>
      <x:c r="O429" s="50"/>
    </x:row>
    <x:row r="430" ht="15" hidden="0" customHeight="1">
      <x:c r="B430" s="50"/>
      <x:c r="N430" s="50"/>
      <x:c r="O430" s="50"/>
    </x:row>
    <x:row r="431" ht="15" hidden="0" customHeight="1">
      <x:c r="B431" s="50"/>
      <x:c r="N431" s="50"/>
      <x:c r="O431" s="50"/>
    </x:row>
    <x:row r="432" ht="15" hidden="0" customHeight="1">
      <x:c r="B432" s="50"/>
      <x:c r="N432" s="50"/>
      <x:c r="O432" s="50"/>
    </x:row>
    <x:row r="433" ht="15" hidden="0" customHeight="1">
      <x:c r="B433" s="50"/>
      <x:c r="N433" s="50"/>
      <x:c r="O433" s="50"/>
    </x:row>
    <x:row r="434" ht="15" hidden="0" customHeight="1">
      <x:c r="B434" s="50"/>
      <x:c r="N434" s="50"/>
      <x:c r="O434" s="50"/>
    </x:row>
    <x:row r="435" ht="15" hidden="0" customHeight="1">
      <x:c r="B435" s="50"/>
      <x:c r="N435" s="50"/>
      <x:c r="O435" s="50"/>
    </x:row>
    <x:row r="436" ht="15" hidden="0" customHeight="1">
      <x:c r="B436" s="50"/>
      <x:c r="N436" s="50"/>
      <x:c r="O436" s="50"/>
    </x:row>
    <x:row r="437" ht="15" hidden="0" customHeight="1">
      <x:c r="B437" s="50"/>
      <x:c r="N437" s="50"/>
      <x:c r="O437" s="50"/>
    </x:row>
    <x:row r="438" ht="15" hidden="0" customHeight="1">
      <x:c r="B438" s="50"/>
      <x:c r="N438" s="50"/>
      <x:c r="O438" s="50"/>
    </x:row>
    <x:row r="439" ht="15" hidden="0" customHeight="1">
      <x:c r="B439" s="50"/>
      <x:c r="N439" s="50"/>
      <x:c r="O439" s="50"/>
    </x:row>
    <x:row r="440" ht="15" hidden="0" customHeight="1">
      <x:c r="B440" s="50"/>
      <x:c r="N440" s="50"/>
      <x:c r="O440" s="50"/>
    </x:row>
    <x:row r="441" ht="15" hidden="0" customHeight="1">
      <x:c r="B441" s="50"/>
      <x:c r="N441" s="50"/>
      <x:c r="O441" s="50"/>
    </x:row>
    <x:row r="442" ht="15" hidden="0" customHeight="1">
      <x:c r="B442" s="50"/>
      <x:c r="N442" s="50"/>
      <x:c r="O442" s="50"/>
    </x:row>
    <x:row r="443" ht="15" hidden="0" customHeight="1">
      <x:c r="B443" s="50"/>
      <x:c r="N443" s="50"/>
      <x:c r="O443" s="50"/>
    </x:row>
    <x:row r="444" ht="15" hidden="0" customHeight="1">
      <x:c r="B444" s="50"/>
      <x:c r="N444" s="50"/>
      <x:c r="O444" s="50"/>
    </x:row>
    <x:row r="445" ht="15" hidden="0" customHeight="1">
      <x:c r="B445" s="50"/>
      <x:c r="N445" s="50"/>
      <x:c r="O445" s="50"/>
    </x:row>
    <x:row r="446" ht="15" hidden="0" customHeight="1">
      <x:c r="B446" s="50"/>
      <x:c r="N446" s="50"/>
      <x:c r="O446" s="50"/>
    </x:row>
    <x:row r="447" ht="15" hidden="0" customHeight="1">
      <x:c r="B447" s="50"/>
      <x:c r="N447" s="50"/>
      <x:c r="O447" s="50"/>
    </x:row>
    <x:row r="448" ht="15" hidden="0" customHeight="1">
      <x:c r="B448" s="50"/>
      <x:c r="N448" s="50"/>
      <x:c r="O448" s="50"/>
    </x:row>
    <x:row r="449" ht="15" hidden="0" customHeight="1">
      <x:c r="B449" s="50"/>
      <x:c r="N449" s="50"/>
      <x:c r="O449" s="50"/>
    </x:row>
    <x:row r="450" ht="15" hidden="0" customHeight="1">
      <x:c r="B450" s="50"/>
      <x:c r="N450" s="50"/>
      <x:c r="O450" s="50"/>
    </x:row>
    <x:row r="451" ht="15" hidden="0" customHeight="1">
      <x:c r="B451" s="50"/>
      <x:c r="N451" s="50"/>
      <x:c r="O451" s="50"/>
    </x:row>
    <x:row r="452" ht="15" hidden="0" customHeight="1">
      <x:c r="B452" s="50"/>
      <x:c r="N452" s="50"/>
      <x:c r="O452" s="50"/>
    </x:row>
    <x:row r="453" ht="15" hidden="0" customHeight="1">
      <x:c r="B453" s="50"/>
      <x:c r="N453" s="50"/>
      <x:c r="O453" s="50"/>
    </x:row>
    <x:row r="454" ht="15" hidden="0" customHeight="1">
      <x:c r="B454" s="50"/>
      <x:c r="N454" s="50"/>
      <x:c r="O454" s="50"/>
    </x:row>
    <x:row r="455" ht="15" hidden="0" customHeight="1">
      <x:c r="B455" s="50"/>
      <x:c r="N455" s="50"/>
      <x:c r="O455" s="50"/>
    </x:row>
    <x:row r="456" ht="15" hidden="0" customHeight="1">
      <x:c r="B456" s="50"/>
      <x:c r="N456" s="50"/>
      <x:c r="O456" s="50"/>
    </x:row>
    <x:row r="457" ht="15" hidden="0" customHeight="1">
      <x:c r="B457" s="50"/>
      <x:c r="N457" s="50"/>
      <x:c r="O457" s="50"/>
    </x:row>
    <x:row r="458" ht="15" hidden="0" customHeight="1">
      <x:c r="B458" s="50"/>
      <x:c r="N458" s="50"/>
      <x:c r="O458" s="50"/>
    </x:row>
    <x:row r="459" ht="15" hidden="0" customHeight="1">
      <x:c r="B459" s="50"/>
      <x:c r="N459" s="50"/>
      <x:c r="O459" s="50"/>
    </x:row>
    <x:row r="460" ht="15" hidden="0" customHeight="1">
      <x:c r="B460" s="50"/>
      <x:c r="N460" s="50"/>
      <x:c r="O460" s="50"/>
    </x:row>
    <x:row r="461" ht="15" hidden="0" customHeight="1">
      <x:c r="B461" s="50"/>
      <x:c r="N461" s="50"/>
      <x:c r="O461" s="50"/>
    </x:row>
    <x:row r="462" ht="15" hidden="0" customHeight="1">
      <x:c r="B462" s="50"/>
      <x:c r="N462" s="50"/>
      <x:c r="O462" s="50"/>
    </x:row>
    <x:row r="463" ht="15" hidden="0" customHeight="1">
      <x:c r="B463" s="50"/>
      <x:c r="N463" s="50"/>
      <x:c r="O463" s="50"/>
    </x:row>
    <x:row r="464" ht="15" hidden="0" customHeight="1">
      <x:c r="B464" s="50"/>
      <x:c r="N464" s="50"/>
      <x:c r="O464" s="50"/>
    </x:row>
    <x:row r="465" ht="15" hidden="0" customHeight="1">
      <x:c r="B465" s="50"/>
      <x:c r="N465" s="50"/>
      <x:c r="O465" s="50"/>
    </x:row>
    <x:row r="466" ht="15" hidden="0" customHeight="1">
      <x:c r="B466" s="50"/>
      <x:c r="N466" s="50"/>
      <x:c r="O466" s="50"/>
    </x:row>
    <x:row r="467" ht="15" hidden="0" customHeight="1">
      <x:c r="B467" s="50"/>
      <x:c r="N467" s="50"/>
      <x:c r="O467" s="50"/>
    </x:row>
    <x:row r="468" ht="15" hidden="0" customHeight="1">
      <x:c r="B468" s="50"/>
      <x:c r="N468" s="50"/>
      <x:c r="O468" s="50"/>
    </x:row>
    <x:row r="469" ht="15" hidden="0" customHeight="1">
      <x:c r="B469" s="50"/>
      <x:c r="N469" s="50"/>
      <x:c r="O469" s="50"/>
    </x:row>
    <x:row r="470" ht="15" hidden="0" customHeight="1">
      <x:c r="B470" s="50"/>
      <x:c r="N470" s="50"/>
      <x:c r="O470" s="50"/>
    </x:row>
    <x:row r="471" ht="15" hidden="0" customHeight="1">
      <x:c r="B471" s="50"/>
      <x:c r="N471" s="50"/>
      <x:c r="O471" s="50"/>
    </x:row>
    <x:row r="472" ht="15" hidden="0" customHeight="1">
      <x:c r="B472" s="50"/>
      <x:c r="N472" s="50"/>
      <x:c r="O472" s="50"/>
    </x:row>
    <x:row r="473" ht="15" hidden="0" customHeight="1">
      <x:c r="B473" s="50"/>
      <x:c r="N473" s="50"/>
      <x:c r="O473" s="50"/>
    </x:row>
    <x:row r="474" ht="15" hidden="0" customHeight="1">
      <x:c r="B474" s="50"/>
      <x:c r="N474" s="50"/>
      <x:c r="O474" s="50"/>
    </x:row>
    <x:row r="475" ht="15" hidden="0" customHeight="1">
      <x:c r="B475" s="50"/>
      <x:c r="N475" s="50"/>
      <x:c r="O475" s="50"/>
    </x:row>
    <x:row r="476" ht="15" hidden="0" customHeight="1">
      <x:c r="B476" s="50"/>
      <x:c r="N476" s="50"/>
      <x:c r="O476" s="50"/>
    </x:row>
    <x:row r="477" ht="15" hidden="0" customHeight="1">
      <x:c r="B477" s="50"/>
      <x:c r="N477" s="50"/>
      <x:c r="O477" s="50"/>
    </x:row>
    <x:row r="478" ht="15" hidden="0" customHeight="1">
      <x:c r="B478" s="50"/>
      <x:c r="N478" s="50"/>
      <x:c r="O478" s="50"/>
    </x:row>
    <x:row r="479" ht="15" hidden="0" customHeight="1">
      <x:c r="B479" s="50"/>
      <x:c r="N479" s="50"/>
      <x:c r="O479" s="50"/>
    </x:row>
    <x:row r="480" ht="15" hidden="0" customHeight="1">
      <x:c r="B480" s="50"/>
      <x:c r="N480" s="50"/>
      <x:c r="O480" s="50"/>
    </x:row>
    <x:row r="481" ht="15" hidden="0" customHeight="1">
      <x:c r="B481" s="50"/>
      <x:c r="N481" s="50"/>
      <x:c r="O481" s="50"/>
    </x:row>
    <x:row r="482" ht="15" hidden="0" customHeight="1">
      <x:c r="B482" s="50"/>
      <x:c r="N482" s="50"/>
      <x:c r="O482" s="50"/>
    </x:row>
    <x:row r="483" ht="15" hidden="0" customHeight="1">
      <x:c r="B483" s="50"/>
      <x:c r="N483" s="50"/>
      <x:c r="O483" s="50"/>
    </x:row>
    <x:row r="484" ht="15" hidden="0" customHeight="1">
      <x:c r="B484" s="50"/>
      <x:c r="N484" s="50"/>
      <x:c r="O484" s="50"/>
    </x:row>
    <x:row r="485" ht="15" hidden="0" customHeight="1">
      <x:c r="B485" s="50"/>
      <x:c r="N485" s="50"/>
      <x:c r="O485" s="50"/>
    </x:row>
    <x:row r="486" ht="15" hidden="0" customHeight="1">
      <x:c r="B486" s="50"/>
      <x:c r="N486" s="50"/>
      <x:c r="O486" s="50"/>
    </x:row>
    <x:row r="487" ht="15" hidden="0" customHeight="1">
      <x:c r="B487" s="50"/>
      <x:c r="N487" s="50"/>
      <x:c r="O487" s="50"/>
    </x:row>
    <x:row r="488" ht="15" hidden="0" customHeight="1">
      <x:c r="B488" s="50"/>
      <x:c r="N488" s="50"/>
      <x:c r="O488" s="50"/>
    </x:row>
    <x:row r="489" ht="15" hidden="0" customHeight="1">
      <x:c r="B489" s="50"/>
      <x:c r="N489" s="50"/>
      <x:c r="O489" s="50"/>
    </x:row>
    <x:row r="490" ht="15" hidden="0" customHeight="1">
      <x:c r="B490" s="50"/>
      <x:c r="N490" s="50"/>
      <x:c r="O490" s="50"/>
    </x:row>
    <x:row r="491" ht="15" hidden="0" customHeight="1">
      <x:c r="B491" s="50"/>
      <x:c r="N491" s="50"/>
      <x:c r="O491" s="50"/>
    </x:row>
    <x:row r="492" ht="15" hidden="0" customHeight="1">
      <x:c r="B492" s="50"/>
      <x:c r="N492" s="50"/>
      <x:c r="O492" s="50"/>
    </x:row>
    <x:row r="493" ht="15" hidden="0" customHeight="1">
      <x:c r="B493" s="50"/>
      <x:c r="N493" s="50"/>
      <x:c r="O493" s="50"/>
    </x:row>
    <x:row r="494" ht="15" hidden="0" customHeight="1">
      <x:c r="B494" s="50"/>
      <x:c r="N494" s="50"/>
      <x:c r="O494" s="50"/>
    </x:row>
    <x:row r="495" ht="15" hidden="0" customHeight="1">
      <x:c r="B495" s="50"/>
      <x:c r="N495" s="50"/>
      <x:c r="O495" s="50"/>
    </x:row>
    <x:row r="496" ht="15" hidden="0" customHeight="1">
      <x:c r="B496" s="50"/>
      <x:c r="N496" s="50"/>
      <x:c r="O496" s="50"/>
    </x:row>
    <x:row r="497" ht="15" hidden="0" customHeight="1">
      <x:c r="B497" s="50"/>
      <x:c r="N497" s="50"/>
      <x:c r="O497" s="50"/>
    </x:row>
    <x:row r="498" ht="15" hidden="0" customHeight="1">
      <x:c r="B498" s="50"/>
      <x:c r="N498" s="50"/>
      <x:c r="O498" s="50"/>
    </x:row>
    <x:row r="499" ht="15" hidden="0" customHeight="1">
      <x:c r="B499" s="50"/>
      <x:c r="N499" s="50"/>
      <x:c r="O499" s="50"/>
    </x:row>
    <x:row r="500" ht="15" hidden="0" customHeight="1">
      <x:c r="B500" s="50"/>
      <x:c r="N500" s="50"/>
      <x:c r="O500" s="50"/>
    </x:row>
    <x:row r="501" ht="15" hidden="0" customHeight="1">
      <x:c r="B501" s="50"/>
      <x:c r="N501" s="50"/>
      <x:c r="O501" s="50"/>
    </x:row>
    <x:row r="502" ht="15" hidden="0" customHeight="1">
      <x:c r="B502" s="50"/>
      <x:c r="N502" s="50"/>
      <x:c r="O502" s="50"/>
    </x:row>
    <x:row r="503" ht="15" hidden="0" customHeight="1">
      <x:c r="B503" s="50"/>
      <x:c r="N503" s="50"/>
      <x:c r="O503" s="50"/>
    </x:row>
    <x:row r="504" ht="15" hidden="0" customHeight="1">
      <x:c r="B504" s="50"/>
      <x:c r="N504" s="50"/>
      <x:c r="O504" s="50"/>
    </x:row>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conditionalFormatting sqref="M5:M504">
    <x:cfRule type="expression" dxfId="0" priority="1">
      <x:formula>$M5="Opportunity"</x:formula>
    </x:cfRule>
    <x:cfRule type="expression" dxfId="1" priority="2">
      <x:formula>$M5="Disqualified"</x:formula>
    </x:cfRule>
    <x:cfRule type="expression" dxfId="2" priority="3">
      <x:formula>$M5="Call Booked"</x:formula>
    </x:cfRule>
    <x:cfRule type="expression" dxfId="3" priority="4">
      <x:formula>$M5="Nurture"</x:formula>
    </x:cfRule>
  </x:conditionalFormatting>
  <x:dataValidations count="5">
    <x:dataValidation type="list" sqref="C5:C504">
      <x:formula1>Dropdowns!$A$2:$A$7</x:formula1>
    </x:dataValidation>
    <x:dataValidation type="list" sqref="L5:L504">
      <x:formula1>Dropdowns!$C$2:$C$6</x:formula1>
    </x:dataValidation>
    <x:dataValidation type="list" sqref="M5:M504">
      <x:formula1>Dropdowns!$B$2:$B$11</x:formula1>
    </x:dataValidation>
    <x:dataValidation type="list" sqref="P5:P504">
      <x:formula1>Dropdowns!$D$2:$D$8</x:formula1>
    </x:dataValidation>
    <x:dataValidation type="list" sqref="T5:T504">
      <x:formula1>Dropdowns!$I$2:$I$5</x:formula1>
    </x:dataValidation>
  </x:dataValidations>
  <x:pageMargins left="0.7" right="0.7" top="0.75" bottom="0.75" header="0.3" footer="0.3"/>
  <x:tableParts count="1">
    <x:tablePart xmlns:r="http://schemas.openxmlformats.org/officeDocument/2006/relationships" r:id="R3a1495c53c874697"/>
  </x:tableParts>
</x:worksheet>
</file>

<file path=xl/worksheets/sheet4.xml><?xml version="1.0" encoding="utf-8"?>
<x:worksheet xmlns:x="http://schemas.openxmlformats.org/spreadsheetml/2006/main">
  <x:sheetFormatPr defaultRowHeight="15"/>
  <x:cols>
    <x:col min="1" max="1" width="14" hidden="0" customWidth="1"/>
    <x:col min="2" max="2" width="12" hidden="0" customWidth="1"/>
    <x:col min="3" max="3" width="12" hidden="0" customWidth="1"/>
    <x:col min="4" max="4" width="18" hidden="0" customWidth="1"/>
    <x:col min="5" max="5" width="20" hidden="0" customWidth="1"/>
    <x:col min="6" max="6" width="24" hidden="0" customWidth="1"/>
    <x:col min="7" max="7" width="24" hidden="0" customWidth="1"/>
    <x:col min="8" max="8" width="14" hidden="0" customWidth="1"/>
    <x:col min="9" max="9" width="10" hidden="0" customWidth="1"/>
    <x:col min="10" max="10" width="20" hidden="0" customWidth="1"/>
    <x:col min="11" max="11" width="38" hidden="0" customWidth="1"/>
    <x:col min="12" max="12" width="60" hidden="0" customWidth="1"/>
    <x:col min="13" max="13" width="16" hidden="0" customWidth="1"/>
    <x:col min="14" max="14" width="10" hidden="0" customWidth="1"/>
    <x:col min="15" max="15" width="12" hidden="0" customWidth="1"/>
    <x:col min="16" max="16" width="12" hidden="0" customWidth="1"/>
    <x:col min="17" max="17" width="32" hidden="0" customWidth="1"/>
    <x:col min="18" max="18" width="40" hidden="0" customWidth="1"/>
  </x:cols>
  <x:sheetData>
    <x:row r="1" ht="30" hidden="0" customHeight="1">
      <x:c r="A1" s="5" t="str">
        <x:v>Outreach Queue</x:v>
      </x:c>
      <x:c r="B1" s="5"/>
      <x:c r="C1" s="5"/>
      <x:c r="D1" s="5"/>
      <x:c r="E1" s="5"/>
      <x:c r="F1" s="5"/>
      <x:c r="G1" s="5"/>
      <x:c r="H1" s="5"/>
      <x:c r="K1" s="34"/>
      <x:c r="L1" s="34"/>
      <x:c r="Q1" s="34"/>
      <x:c r="R1" s="34"/>
    </x:row>
    <x:row r="2" ht="38" hidden="0" customHeight="1">
      <x:c r="A2" s="13" t="str">
        <x:v>This week’s active batch. Copy target details from Targets, send manually, then log the touch.</x:v>
      </x:c>
      <x:c r="B2" s="13"/>
      <x:c r="C2" s="13"/>
      <x:c r="D2" s="13"/>
      <x:c r="E2" s="13"/>
      <x:c r="F2" s="13"/>
      <x:c r="G2" s="13"/>
      <x:c r="H2" s="13"/>
    </x:row>
    <x:row r="3"/>
    <x:row r="4" ht="26.399999618530273" hidden="0" customHeight="1">
      <x:c r="A4" s="22" t="str">
        <x:v>Batch Week</x:v>
      </x:c>
      <x:c r="B4" s="22" t="str">
        <x:v>Send By</x:v>
      </x:c>
      <x:c r="C4" s="22" t="str">
        <x:v>Target ID</x:v>
      </x:c>
      <x:c r="D4" s="22" t="str">
        <x:v>Lane</x:v>
      </x:c>
      <x:c r="E4" s="22" t="str">
        <x:v>Name</x:v>
      </x:c>
      <x:c r="F4" s="22" t="str">
        <x:v>Organization</x:v>
      </x:c>
      <x:c r="G4" s="22" t="str">
        <x:v>Role</x:v>
      </x:c>
      <x:c r="H4" s="22" t="str">
        <x:v>Channel</x:v>
      </x:c>
      <x:c r="I4" s="22" t="str">
        <x:v>Priority</x:v>
      </x:c>
      <x:c r="J4" s="22" t="str">
        <x:v>Template</x:v>
      </x:c>
      <x:c r="K4" s="22" t="str">
        <x:v>Custom Hook</x:v>
      </x:c>
      <x:c r="L4" s="22" t="str">
        <x:v>Message Draft</x:v>
      </x:c>
      <x:c r="M4" s="22" t="str">
        <x:v>Status</x:v>
      </x:c>
      <x:c r="N4" s="22" t="str">
        <x:v>Sent?</x:v>
      </x:c>
      <x:c r="O4" s="22" t="str">
        <x:v>Sent Date</x:v>
      </x:c>
      <x:c r="P4" s="22" t="str">
        <x:v>Follow-Up Date</x:v>
      </x:c>
      <x:c r="Q4" s="22" t="str">
        <x:v>Next Action</x:v>
      </x:c>
      <x:c r="R4" s="22" t="str">
        <x:v>Notes</x:v>
      </x:c>
    </x:row>
    <x:row r="5" ht="15" hidden="0" customHeight="1">
      <x:c r="A5" s="50"/>
      <x:c r="B5" s="50"/>
      <x:c r="O5" s="50"/>
      <x:c r="P5" s="50"/>
    </x:row>
    <x:row r="6" ht="15" hidden="0" customHeight="1">
      <x:c r="A6" s="50"/>
      <x:c r="B6" s="50"/>
      <x:c r="O6" s="50"/>
      <x:c r="P6" s="50"/>
    </x:row>
    <x:row r="7" ht="15" hidden="0" customHeight="1">
      <x:c r="A7" s="50"/>
      <x:c r="B7" s="50"/>
      <x:c r="O7" s="50"/>
      <x:c r="P7" s="50"/>
    </x:row>
    <x:row r="8" ht="15" hidden="0" customHeight="1">
      <x:c r="A8" s="50"/>
      <x:c r="B8" s="50"/>
      <x:c r="O8" s="50"/>
      <x:c r="P8" s="50"/>
    </x:row>
    <x:row r="9" ht="15" hidden="0" customHeight="1">
      <x:c r="A9" s="50"/>
      <x:c r="B9" s="50"/>
      <x:c r="O9" s="50"/>
      <x:c r="P9" s="50"/>
    </x:row>
    <x:row r="10" ht="15" hidden="0" customHeight="1">
      <x:c r="A10" s="50"/>
      <x:c r="B10" s="50"/>
      <x:c r="O10" s="50"/>
      <x:c r="P10" s="50"/>
    </x:row>
    <x:row r="11" ht="15" hidden="0" customHeight="1">
      <x:c r="A11" s="50"/>
      <x:c r="B11" s="50"/>
      <x:c r="O11" s="50"/>
      <x:c r="P11" s="50"/>
    </x:row>
    <x:row r="12" ht="15" hidden="0" customHeight="1">
      <x:c r="A12" s="50"/>
      <x:c r="B12" s="50"/>
      <x:c r="O12" s="50"/>
      <x:c r="P12" s="50"/>
    </x:row>
    <x:row r="13" ht="15" hidden="0" customHeight="1">
      <x:c r="A13" s="50"/>
      <x:c r="B13" s="50"/>
      <x:c r="O13" s="50"/>
      <x:c r="P13" s="50"/>
    </x:row>
    <x:row r="14" ht="15" hidden="0" customHeight="1">
      <x:c r="A14" s="50"/>
      <x:c r="B14" s="50"/>
      <x:c r="O14" s="50"/>
      <x:c r="P14" s="50"/>
    </x:row>
    <x:row r="15" ht="15" hidden="0" customHeight="1">
      <x:c r="A15" s="50"/>
      <x:c r="B15" s="50"/>
      <x:c r="O15" s="50"/>
      <x:c r="P15" s="50"/>
    </x:row>
    <x:row r="16" ht="15" hidden="0" customHeight="1">
      <x:c r="A16" s="50"/>
      <x:c r="B16" s="50"/>
      <x:c r="O16" s="50"/>
      <x:c r="P16" s="50"/>
    </x:row>
    <x:row r="17" ht="15" hidden="0" customHeight="1">
      <x:c r="A17" s="50"/>
      <x:c r="B17" s="50"/>
      <x:c r="O17" s="50"/>
      <x:c r="P17" s="50"/>
    </x:row>
    <x:row r="18" ht="15" hidden="0" customHeight="1">
      <x:c r="A18" s="50"/>
      <x:c r="B18" s="50"/>
      <x:c r="O18" s="50"/>
      <x:c r="P18" s="50"/>
    </x:row>
    <x:row r="19" ht="15" hidden="0" customHeight="1">
      <x:c r="A19" s="50"/>
      <x:c r="B19" s="50"/>
      <x:c r="O19" s="50"/>
      <x:c r="P19" s="50"/>
    </x:row>
    <x:row r="20" ht="15" hidden="0" customHeight="1">
      <x:c r="A20" s="50"/>
      <x:c r="B20" s="50"/>
      <x:c r="O20" s="50"/>
      <x:c r="P20" s="50"/>
    </x:row>
    <x:row r="21" ht="15" hidden="0" customHeight="1">
      <x:c r="A21" s="50"/>
      <x:c r="B21" s="50"/>
      <x:c r="O21" s="50"/>
      <x:c r="P21" s="50"/>
    </x:row>
    <x:row r="22" ht="15" hidden="0" customHeight="1">
      <x:c r="A22" s="50"/>
      <x:c r="B22" s="50"/>
      <x:c r="O22" s="50"/>
      <x:c r="P22" s="50"/>
    </x:row>
    <x:row r="23" ht="15" hidden="0" customHeight="1">
      <x:c r="A23" s="50"/>
      <x:c r="B23" s="50"/>
      <x:c r="O23" s="50"/>
      <x:c r="P23" s="50"/>
    </x:row>
    <x:row r="24" ht="15" hidden="0" customHeight="1">
      <x:c r="A24" s="50"/>
      <x:c r="B24" s="50"/>
      <x:c r="O24" s="50"/>
      <x:c r="P24" s="50"/>
    </x:row>
    <x:row r="25" ht="15" hidden="0" customHeight="1">
      <x:c r="A25" s="50"/>
      <x:c r="B25" s="50"/>
      <x:c r="O25" s="50"/>
      <x:c r="P25" s="50"/>
    </x:row>
    <x:row r="26" ht="15" hidden="0" customHeight="1">
      <x:c r="A26" s="50"/>
      <x:c r="B26" s="50"/>
      <x:c r="O26" s="50"/>
      <x:c r="P26" s="50"/>
    </x:row>
    <x:row r="27" ht="15" hidden="0" customHeight="1">
      <x:c r="A27" s="50"/>
      <x:c r="B27" s="50"/>
      <x:c r="O27" s="50"/>
      <x:c r="P27" s="50"/>
    </x:row>
    <x:row r="28" ht="15" hidden="0" customHeight="1">
      <x:c r="A28" s="50"/>
      <x:c r="B28" s="50"/>
      <x:c r="O28" s="50"/>
      <x:c r="P28" s="50"/>
    </x:row>
    <x:row r="29" ht="15" hidden="0" customHeight="1">
      <x:c r="A29" s="50"/>
      <x:c r="B29" s="50"/>
      <x:c r="O29" s="50"/>
      <x:c r="P29" s="50"/>
    </x:row>
    <x:row r="30" ht="15" hidden="0" customHeight="1">
      <x:c r="A30" s="50"/>
      <x:c r="B30" s="50"/>
      <x:c r="O30" s="50"/>
      <x:c r="P30" s="50"/>
    </x:row>
    <x:row r="31" ht="15" hidden="0" customHeight="1">
      <x:c r="A31" s="50"/>
      <x:c r="B31" s="50"/>
      <x:c r="O31" s="50"/>
      <x:c r="P31" s="50"/>
    </x:row>
    <x:row r="32" ht="15" hidden="0" customHeight="1">
      <x:c r="A32" s="50"/>
      <x:c r="B32" s="50"/>
      <x:c r="O32" s="50"/>
      <x:c r="P32" s="50"/>
    </x:row>
    <x:row r="33" ht="15" hidden="0" customHeight="1">
      <x:c r="A33" s="50"/>
      <x:c r="B33" s="50"/>
      <x:c r="O33" s="50"/>
      <x:c r="P33" s="50"/>
    </x:row>
    <x:row r="34" ht="15" hidden="0" customHeight="1">
      <x:c r="A34" s="50"/>
      <x:c r="B34" s="50"/>
      <x:c r="O34" s="50"/>
      <x:c r="P34" s="50"/>
    </x:row>
    <x:row r="35" ht="15" hidden="0" customHeight="1">
      <x:c r="A35" s="50"/>
      <x:c r="B35" s="50"/>
      <x:c r="O35" s="50"/>
      <x:c r="P35" s="50"/>
    </x:row>
    <x:row r="36" ht="15" hidden="0" customHeight="1">
      <x:c r="A36" s="50"/>
      <x:c r="B36" s="50"/>
      <x:c r="O36" s="50"/>
      <x:c r="P36" s="50"/>
    </x:row>
    <x:row r="37" ht="15" hidden="0" customHeight="1">
      <x:c r="A37" s="50"/>
      <x:c r="B37" s="50"/>
      <x:c r="O37" s="50"/>
      <x:c r="P37" s="50"/>
    </x:row>
    <x:row r="38" ht="15" hidden="0" customHeight="1">
      <x:c r="A38" s="50"/>
      <x:c r="B38" s="50"/>
      <x:c r="O38" s="50"/>
      <x:c r="P38" s="50"/>
    </x:row>
    <x:row r="39" ht="15" hidden="0" customHeight="1">
      <x:c r="A39" s="50"/>
      <x:c r="B39" s="50"/>
      <x:c r="O39" s="50"/>
      <x:c r="P39" s="50"/>
    </x:row>
    <x:row r="40" ht="15" hidden="0" customHeight="1">
      <x:c r="A40" s="50"/>
      <x:c r="B40" s="50"/>
      <x:c r="O40" s="50"/>
      <x:c r="P40" s="50"/>
    </x:row>
    <x:row r="41" ht="15" hidden="0" customHeight="1">
      <x:c r="A41" s="50"/>
      <x:c r="B41" s="50"/>
      <x:c r="O41" s="50"/>
      <x:c r="P41" s="50"/>
    </x:row>
    <x:row r="42" ht="15" hidden="0" customHeight="1">
      <x:c r="A42" s="50"/>
      <x:c r="B42" s="50"/>
      <x:c r="O42" s="50"/>
      <x:c r="P42" s="50"/>
    </x:row>
    <x:row r="43" ht="15" hidden="0" customHeight="1">
      <x:c r="A43" s="50"/>
      <x:c r="B43" s="50"/>
      <x:c r="O43" s="50"/>
      <x:c r="P43" s="50"/>
    </x:row>
    <x:row r="44" ht="15" hidden="0" customHeight="1">
      <x:c r="A44" s="50"/>
      <x:c r="B44" s="50"/>
      <x:c r="O44" s="50"/>
      <x:c r="P44" s="50"/>
    </x:row>
    <x:row r="45" ht="15" hidden="0" customHeight="1">
      <x:c r="A45" s="50"/>
      <x:c r="B45" s="50"/>
      <x:c r="O45" s="50"/>
      <x:c r="P45" s="50"/>
    </x:row>
    <x:row r="46" ht="15" hidden="0" customHeight="1">
      <x:c r="A46" s="50"/>
      <x:c r="B46" s="50"/>
      <x:c r="O46" s="50"/>
      <x:c r="P46" s="50"/>
    </x:row>
    <x:row r="47" ht="15" hidden="0" customHeight="1">
      <x:c r="A47" s="50"/>
      <x:c r="B47" s="50"/>
      <x:c r="O47" s="50"/>
      <x:c r="P47" s="50"/>
    </x:row>
    <x:row r="48" ht="15" hidden="0" customHeight="1">
      <x:c r="A48" s="50"/>
      <x:c r="B48" s="50"/>
      <x:c r="O48" s="50"/>
      <x:c r="P48" s="50"/>
    </x:row>
    <x:row r="49" ht="15" hidden="0" customHeight="1">
      <x:c r="A49" s="50"/>
      <x:c r="B49" s="50"/>
      <x:c r="O49" s="50"/>
      <x:c r="P49" s="50"/>
    </x:row>
    <x:row r="50" ht="15" hidden="0" customHeight="1">
      <x:c r="A50" s="50"/>
      <x:c r="B50" s="50"/>
      <x:c r="O50" s="50"/>
      <x:c r="P50" s="50"/>
    </x:row>
    <x:row r="51" ht="15" hidden="0" customHeight="1">
      <x:c r="A51" s="50"/>
      <x:c r="B51" s="50"/>
      <x:c r="O51" s="50"/>
      <x:c r="P51" s="50"/>
    </x:row>
    <x:row r="52" ht="15" hidden="0" customHeight="1">
      <x:c r="A52" s="50"/>
      <x:c r="B52" s="50"/>
      <x:c r="O52" s="50"/>
      <x:c r="P52" s="50"/>
    </x:row>
    <x:row r="53" ht="15" hidden="0" customHeight="1">
      <x:c r="A53" s="50"/>
      <x:c r="B53" s="50"/>
      <x:c r="O53" s="50"/>
      <x:c r="P53" s="50"/>
    </x:row>
    <x:row r="54" ht="15" hidden="0" customHeight="1">
      <x:c r="A54" s="50"/>
      <x:c r="B54" s="50"/>
      <x:c r="O54" s="50"/>
      <x:c r="P54" s="50"/>
    </x:row>
    <x:row r="55" ht="15" hidden="0" customHeight="1">
      <x:c r="A55" s="50"/>
      <x:c r="B55" s="50"/>
      <x:c r="O55" s="50"/>
      <x:c r="P55" s="50"/>
    </x:row>
    <x:row r="56" ht="15" hidden="0" customHeight="1">
      <x:c r="A56" s="50"/>
      <x:c r="B56" s="50"/>
      <x:c r="O56" s="50"/>
      <x:c r="P56" s="50"/>
    </x:row>
    <x:row r="57" ht="15" hidden="0" customHeight="1">
      <x:c r="A57" s="50"/>
      <x:c r="B57" s="50"/>
      <x:c r="O57" s="50"/>
      <x:c r="P57" s="50"/>
    </x:row>
    <x:row r="58" ht="15" hidden="0" customHeight="1">
      <x:c r="A58" s="50"/>
      <x:c r="B58" s="50"/>
      <x:c r="O58" s="50"/>
      <x:c r="P58" s="50"/>
    </x:row>
    <x:row r="59" ht="15" hidden="0" customHeight="1">
      <x:c r="A59" s="50"/>
      <x:c r="B59" s="50"/>
      <x:c r="O59" s="50"/>
      <x:c r="P59" s="50"/>
    </x:row>
    <x:row r="60" ht="15" hidden="0" customHeight="1">
      <x:c r="A60" s="50"/>
      <x:c r="B60" s="50"/>
      <x:c r="O60" s="50"/>
      <x:c r="P60" s="50"/>
    </x:row>
    <x:row r="61" ht="15" hidden="0" customHeight="1">
      <x:c r="A61" s="50"/>
      <x:c r="B61" s="50"/>
      <x:c r="O61" s="50"/>
      <x:c r="P61" s="50"/>
    </x:row>
    <x:row r="62" ht="15" hidden="0" customHeight="1">
      <x:c r="A62" s="50"/>
      <x:c r="B62" s="50"/>
      <x:c r="O62" s="50"/>
      <x:c r="P62" s="50"/>
    </x:row>
    <x:row r="63" ht="15" hidden="0" customHeight="1">
      <x:c r="A63" s="50"/>
      <x:c r="B63" s="50"/>
      <x:c r="O63" s="50"/>
      <x:c r="P63" s="50"/>
    </x:row>
    <x:row r="64" ht="15" hidden="0" customHeight="1">
      <x:c r="A64" s="50"/>
      <x:c r="B64" s="50"/>
      <x:c r="O64" s="50"/>
      <x:c r="P64" s="50"/>
    </x:row>
    <x:row r="65" ht="15" hidden="0" customHeight="1">
      <x:c r="A65" s="50"/>
      <x:c r="B65" s="50"/>
      <x:c r="O65" s="50"/>
      <x:c r="P65" s="50"/>
    </x:row>
    <x:row r="66" ht="15" hidden="0" customHeight="1">
      <x:c r="A66" s="50"/>
      <x:c r="B66" s="50"/>
      <x:c r="O66" s="50"/>
      <x:c r="P66" s="50"/>
    </x:row>
    <x:row r="67" ht="15" hidden="0" customHeight="1">
      <x:c r="A67" s="50"/>
      <x:c r="B67" s="50"/>
      <x:c r="O67" s="50"/>
      <x:c r="P67" s="50"/>
    </x:row>
    <x:row r="68" ht="15" hidden="0" customHeight="1">
      <x:c r="A68" s="50"/>
      <x:c r="B68" s="50"/>
      <x:c r="O68" s="50"/>
      <x:c r="P68" s="50"/>
    </x:row>
    <x:row r="69" ht="15" hidden="0" customHeight="1">
      <x:c r="A69" s="50"/>
      <x:c r="B69" s="50"/>
      <x:c r="O69" s="50"/>
      <x:c r="P69" s="50"/>
    </x:row>
    <x:row r="70" ht="15" hidden="0" customHeight="1">
      <x:c r="A70" s="50"/>
      <x:c r="B70" s="50"/>
      <x:c r="O70" s="50"/>
      <x:c r="P70" s="50"/>
    </x:row>
    <x:row r="71" ht="15" hidden="0" customHeight="1">
      <x:c r="A71" s="50"/>
      <x:c r="B71" s="50"/>
      <x:c r="O71" s="50"/>
      <x:c r="P71" s="50"/>
    </x:row>
    <x:row r="72" ht="15" hidden="0" customHeight="1">
      <x:c r="A72" s="50"/>
      <x:c r="B72" s="50"/>
      <x:c r="O72" s="50"/>
      <x:c r="P72" s="50"/>
    </x:row>
    <x:row r="73" ht="15" hidden="0" customHeight="1">
      <x:c r="A73" s="50"/>
      <x:c r="B73" s="50"/>
      <x:c r="O73" s="50"/>
      <x:c r="P73" s="50"/>
    </x:row>
    <x:row r="74" ht="15" hidden="0" customHeight="1">
      <x:c r="A74" s="50"/>
      <x:c r="B74" s="50"/>
      <x:c r="O74" s="50"/>
      <x:c r="P74" s="50"/>
    </x:row>
    <x:row r="75" ht="15" hidden="0" customHeight="1">
      <x:c r="A75" s="50"/>
      <x:c r="B75" s="50"/>
      <x:c r="O75" s="50"/>
      <x:c r="P75" s="50"/>
    </x:row>
    <x:row r="76" ht="15" hidden="0" customHeight="1">
      <x:c r="A76" s="50"/>
      <x:c r="B76" s="50"/>
      <x:c r="O76" s="50"/>
      <x:c r="P76" s="50"/>
    </x:row>
    <x:row r="77" ht="15" hidden="0" customHeight="1">
      <x:c r="A77" s="50"/>
      <x:c r="B77" s="50"/>
      <x:c r="O77" s="50"/>
      <x:c r="P77" s="50"/>
    </x:row>
    <x:row r="78" ht="15" hidden="0" customHeight="1">
      <x:c r="A78" s="50"/>
      <x:c r="B78" s="50"/>
      <x:c r="O78" s="50"/>
      <x:c r="P78" s="50"/>
    </x:row>
    <x:row r="79" ht="15" hidden="0" customHeight="1">
      <x:c r="A79" s="50"/>
      <x:c r="B79" s="50"/>
      <x:c r="O79" s="50"/>
      <x:c r="P79" s="50"/>
    </x:row>
    <x:row r="80" ht="15" hidden="0" customHeight="1">
      <x:c r="A80" s="50"/>
      <x:c r="B80" s="50"/>
      <x:c r="O80" s="50"/>
      <x:c r="P80" s="50"/>
    </x:row>
    <x:row r="81" ht="15" hidden="0" customHeight="1">
      <x:c r="A81" s="50"/>
      <x:c r="B81" s="50"/>
      <x:c r="O81" s="50"/>
      <x:c r="P81" s="50"/>
    </x:row>
    <x:row r="82" ht="15" hidden="0" customHeight="1">
      <x:c r="A82" s="50"/>
      <x:c r="B82" s="50"/>
      <x:c r="O82" s="50"/>
      <x:c r="P82" s="50"/>
    </x:row>
    <x:row r="83" ht="15" hidden="0" customHeight="1">
      <x:c r="A83" s="50"/>
      <x:c r="B83" s="50"/>
      <x:c r="O83" s="50"/>
      <x:c r="P83" s="50"/>
    </x:row>
    <x:row r="84" ht="15" hidden="0" customHeight="1">
      <x:c r="A84" s="50"/>
      <x:c r="B84" s="50"/>
      <x:c r="O84" s="50"/>
      <x:c r="P84" s="50"/>
    </x:row>
    <x:row r="85" ht="15" hidden="0" customHeight="1">
      <x:c r="A85" s="50"/>
      <x:c r="B85" s="50"/>
      <x:c r="O85" s="50"/>
      <x:c r="P85" s="50"/>
    </x:row>
    <x:row r="86" ht="15" hidden="0" customHeight="1">
      <x:c r="A86" s="50"/>
      <x:c r="B86" s="50"/>
      <x:c r="O86" s="50"/>
      <x:c r="P86" s="50"/>
    </x:row>
    <x:row r="87" ht="15" hidden="0" customHeight="1">
      <x:c r="A87" s="50"/>
      <x:c r="B87" s="50"/>
      <x:c r="O87" s="50"/>
      <x:c r="P87" s="50"/>
    </x:row>
    <x:row r="88" ht="15" hidden="0" customHeight="1">
      <x:c r="A88" s="50"/>
      <x:c r="B88" s="50"/>
      <x:c r="O88" s="50"/>
      <x:c r="P88" s="50"/>
    </x:row>
    <x:row r="89" ht="15" hidden="0" customHeight="1">
      <x:c r="A89" s="50"/>
      <x:c r="B89" s="50"/>
      <x:c r="O89" s="50"/>
      <x:c r="P89" s="50"/>
    </x:row>
    <x:row r="90" ht="15" hidden="0" customHeight="1">
      <x:c r="A90" s="50"/>
      <x:c r="B90" s="50"/>
      <x:c r="O90" s="50"/>
      <x:c r="P90" s="50"/>
    </x:row>
    <x:row r="91" ht="15" hidden="0" customHeight="1">
      <x:c r="A91" s="50"/>
      <x:c r="B91" s="50"/>
      <x:c r="O91" s="50"/>
      <x:c r="P91" s="50"/>
    </x:row>
    <x:row r="92" ht="15" hidden="0" customHeight="1">
      <x:c r="A92" s="50"/>
      <x:c r="B92" s="50"/>
      <x:c r="O92" s="50"/>
      <x:c r="P92" s="50"/>
    </x:row>
    <x:row r="93" ht="15" hidden="0" customHeight="1">
      <x:c r="A93" s="50"/>
      <x:c r="B93" s="50"/>
      <x:c r="O93" s="50"/>
      <x:c r="P93" s="50"/>
    </x:row>
    <x:row r="94" ht="15" hidden="0" customHeight="1">
      <x:c r="A94" s="50"/>
      <x:c r="B94" s="50"/>
      <x:c r="O94" s="50"/>
      <x:c r="P94" s="50"/>
    </x:row>
    <x:row r="95" ht="15" hidden="0" customHeight="1">
      <x:c r="A95" s="50"/>
      <x:c r="B95" s="50"/>
      <x:c r="O95" s="50"/>
      <x:c r="P95" s="50"/>
    </x:row>
    <x:row r="96" ht="15" hidden="0" customHeight="1">
      <x:c r="A96" s="50"/>
      <x:c r="B96" s="50"/>
      <x:c r="O96" s="50"/>
      <x:c r="P96" s="50"/>
    </x:row>
    <x:row r="97" ht="15" hidden="0" customHeight="1">
      <x:c r="A97" s="50"/>
      <x:c r="B97" s="50"/>
      <x:c r="O97" s="50"/>
      <x:c r="P97" s="50"/>
    </x:row>
    <x:row r="98" ht="15" hidden="0" customHeight="1">
      <x:c r="A98" s="50"/>
      <x:c r="B98" s="50"/>
      <x:c r="O98" s="50"/>
      <x:c r="P98" s="50"/>
    </x:row>
    <x:row r="99" ht="15" hidden="0" customHeight="1">
      <x:c r="A99" s="50"/>
      <x:c r="B99" s="50"/>
      <x:c r="O99" s="50"/>
      <x:c r="P99" s="50"/>
    </x:row>
    <x:row r="100" ht="15" hidden="0" customHeight="1">
      <x:c r="A100" s="50"/>
      <x:c r="B100" s="50"/>
      <x:c r="O100" s="50"/>
      <x:c r="P100" s="50"/>
    </x:row>
    <x:row r="101" ht="15" hidden="0" customHeight="1">
      <x:c r="A101" s="50"/>
      <x:c r="B101" s="50"/>
      <x:c r="O101" s="50"/>
      <x:c r="P101" s="50"/>
    </x:row>
    <x:row r="102" ht="15" hidden="0" customHeight="1">
      <x:c r="A102" s="50"/>
      <x:c r="B102" s="50"/>
      <x:c r="O102" s="50"/>
      <x:c r="P102" s="50"/>
    </x:row>
    <x:row r="103" ht="15" hidden="0" customHeight="1">
      <x:c r="A103" s="50"/>
      <x:c r="B103" s="50"/>
      <x:c r="O103" s="50"/>
      <x:c r="P103" s="50"/>
    </x:row>
    <x:row r="104" ht="15" hidden="0" customHeight="1">
      <x:c r="A104" s="50"/>
      <x:c r="B104" s="50"/>
      <x:c r="O104" s="50"/>
      <x:c r="P104" s="50"/>
    </x:row>
    <x:row r="105" ht="15" hidden="0" customHeight="1">
      <x:c r="A105" s="50"/>
      <x:c r="B105" s="50"/>
      <x:c r="O105" s="50"/>
      <x:c r="P105" s="50"/>
    </x:row>
    <x:row r="106" ht="15" hidden="0" customHeight="1">
      <x:c r="A106" s="50"/>
      <x:c r="B106" s="50"/>
      <x:c r="O106" s="50"/>
      <x:c r="P106" s="50"/>
    </x:row>
    <x:row r="107" ht="15" hidden="0" customHeight="1">
      <x:c r="A107" s="50"/>
      <x:c r="B107" s="50"/>
      <x:c r="O107" s="50"/>
      <x:c r="P107" s="50"/>
    </x:row>
    <x:row r="108" ht="15" hidden="0" customHeight="1">
      <x:c r="A108" s="50"/>
      <x:c r="B108" s="50"/>
      <x:c r="O108" s="50"/>
      <x:c r="P108" s="50"/>
    </x:row>
    <x:row r="109" ht="15" hidden="0" customHeight="1">
      <x:c r="A109" s="50"/>
      <x:c r="B109" s="50"/>
      <x:c r="O109" s="50"/>
      <x:c r="P109" s="50"/>
    </x:row>
    <x:row r="110" ht="15" hidden="0" customHeight="1">
      <x:c r="A110" s="50"/>
      <x:c r="B110" s="50"/>
      <x:c r="O110" s="50"/>
      <x:c r="P110" s="50"/>
    </x:row>
    <x:row r="111" ht="15" hidden="0" customHeight="1">
      <x:c r="A111" s="50"/>
      <x:c r="B111" s="50"/>
      <x:c r="O111" s="50"/>
      <x:c r="P111" s="50"/>
    </x:row>
    <x:row r="112" ht="15" hidden="0" customHeight="1">
      <x:c r="A112" s="50"/>
      <x:c r="B112" s="50"/>
      <x:c r="O112" s="50"/>
      <x:c r="P112" s="50"/>
    </x:row>
    <x:row r="113" ht="15" hidden="0" customHeight="1">
      <x:c r="A113" s="50"/>
      <x:c r="B113" s="50"/>
      <x:c r="O113" s="50"/>
      <x:c r="P113" s="50"/>
    </x:row>
    <x:row r="114" ht="15" hidden="0" customHeight="1">
      <x:c r="A114" s="50"/>
      <x:c r="B114" s="50"/>
      <x:c r="O114" s="50"/>
      <x:c r="P114" s="50"/>
    </x:row>
    <x:row r="115" ht="15" hidden="0" customHeight="1">
      <x:c r="A115" s="50"/>
      <x:c r="B115" s="50"/>
      <x:c r="O115" s="50"/>
      <x:c r="P115" s="50"/>
    </x:row>
    <x:row r="116" ht="15" hidden="0" customHeight="1">
      <x:c r="A116" s="50"/>
      <x:c r="B116" s="50"/>
      <x:c r="O116" s="50"/>
      <x:c r="P116" s="50"/>
    </x:row>
    <x:row r="117" ht="15" hidden="0" customHeight="1">
      <x:c r="A117" s="50"/>
      <x:c r="B117" s="50"/>
      <x:c r="O117" s="50"/>
      <x:c r="P117" s="50"/>
    </x:row>
    <x:row r="118" ht="15" hidden="0" customHeight="1">
      <x:c r="A118" s="50"/>
      <x:c r="B118" s="50"/>
      <x:c r="O118" s="50"/>
      <x:c r="P118" s="50"/>
    </x:row>
    <x:row r="119" ht="15" hidden="0" customHeight="1">
      <x:c r="A119" s="50"/>
      <x:c r="B119" s="50"/>
      <x:c r="O119" s="50"/>
      <x:c r="P119" s="50"/>
    </x:row>
    <x:row r="120" ht="15" hidden="0" customHeight="1">
      <x:c r="A120" s="50"/>
      <x:c r="B120" s="50"/>
      <x:c r="O120" s="50"/>
      <x:c r="P120" s="50"/>
    </x:row>
    <x:row r="121" ht="15" hidden="0" customHeight="1">
      <x:c r="A121" s="50"/>
      <x:c r="B121" s="50"/>
      <x:c r="O121" s="50"/>
      <x:c r="P121" s="50"/>
    </x:row>
    <x:row r="122" ht="15" hidden="0" customHeight="1">
      <x:c r="A122" s="50"/>
      <x:c r="B122" s="50"/>
      <x:c r="O122" s="50"/>
      <x:c r="P122" s="50"/>
    </x:row>
    <x:row r="123" ht="15" hidden="0" customHeight="1">
      <x:c r="A123" s="50"/>
      <x:c r="B123" s="50"/>
      <x:c r="O123" s="50"/>
      <x:c r="P123" s="50"/>
    </x:row>
    <x:row r="124" ht="15" hidden="0" customHeight="1">
      <x:c r="A124" s="50"/>
      <x:c r="B124" s="50"/>
      <x:c r="O124" s="50"/>
      <x:c r="P124" s="50"/>
    </x:row>
    <x:row r="125" ht="15" hidden="0" customHeight="1">
      <x:c r="A125" s="50"/>
      <x:c r="B125" s="50"/>
      <x:c r="O125" s="50"/>
      <x:c r="P125" s="50"/>
    </x:row>
    <x:row r="126" ht="15" hidden="0" customHeight="1">
      <x:c r="A126" s="50"/>
      <x:c r="B126" s="50"/>
      <x:c r="O126" s="50"/>
      <x:c r="P126" s="50"/>
    </x:row>
    <x:row r="127" ht="15" hidden="0" customHeight="1">
      <x:c r="A127" s="50"/>
      <x:c r="B127" s="50"/>
      <x:c r="O127" s="50"/>
      <x:c r="P127" s="50"/>
    </x:row>
    <x:row r="128" ht="15" hidden="0" customHeight="1">
      <x:c r="A128" s="50"/>
      <x:c r="B128" s="50"/>
      <x:c r="O128" s="50"/>
      <x:c r="P128" s="50"/>
    </x:row>
    <x:row r="129" ht="15" hidden="0" customHeight="1">
      <x:c r="A129" s="50"/>
      <x:c r="B129" s="50"/>
      <x:c r="O129" s="50"/>
      <x:c r="P129" s="50"/>
    </x:row>
    <x:row r="130" ht="15" hidden="0" customHeight="1">
      <x:c r="A130" s="50"/>
      <x:c r="B130" s="50"/>
      <x:c r="O130" s="50"/>
      <x:c r="P130" s="50"/>
    </x:row>
    <x:row r="131" ht="15" hidden="0" customHeight="1">
      <x:c r="A131" s="50"/>
      <x:c r="B131" s="50"/>
      <x:c r="O131" s="50"/>
      <x:c r="P131" s="50"/>
    </x:row>
    <x:row r="132" ht="15" hidden="0" customHeight="1">
      <x:c r="A132" s="50"/>
      <x:c r="B132" s="50"/>
      <x:c r="O132" s="50"/>
      <x:c r="P132" s="50"/>
    </x:row>
    <x:row r="133" ht="15" hidden="0" customHeight="1">
      <x:c r="A133" s="50"/>
      <x:c r="B133" s="50"/>
      <x:c r="O133" s="50"/>
      <x:c r="P133" s="50"/>
    </x:row>
    <x:row r="134" ht="15" hidden="0" customHeight="1">
      <x:c r="A134" s="50"/>
      <x:c r="B134" s="50"/>
      <x:c r="O134" s="50"/>
      <x:c r="P134" s="50"/>
    </x:row>
    <x:row r="135" ht="15" hidden="0" customHeight="1">
      <x:c r="A135" s="50"/>
      <x:c r="B135" s="50"/>
      <x:c r="O135" s="50"/>
      <x:c r="P135" s="50"/>
    </x:row>
    <x:row r="136" ht="15" hidden="0" customHeight="1">
      <x:c r="A136" s="50"/>
      <x:c r="B136" s="50"/>
      <x:c r="O136" s="50"/>
      <x:c r="P136" s="50"/>
    </x:row>
    <x:row r="137" ht="15" hidden="0" customHeight="1">
      <x:c r="A137" s="50"/>
      <x:c r="B137" s="50"/>
      <x:c r="O137" s="50"/>
      <x:c r="P137" s="50"/>
    </x:row>
    <x:row r="138" ht="15" hidden="0" customHeight="1">
      <x:c r="A138" s="50"/>
      <x:c r="B138" s="50"/>
      <x:c r="O138" s="50"/>
      <x:c r="P138" s="50"/>
    </x:row>
    <x:row r="139" ht="15" hidden="0" customHeight="1">
      <x:c r="A139" s="50"/>
      <x:c r="B139" s="50"/>
      <x:c r="O139" s="50"/>
      <x:c r="P139" s="50"/>
    </x:row>
    <x:row r="140" ht="15" hidden="0" customHeight="1">
      <x:c r="A140" s="50"/>
      <x:c r="B140" s="50"/>
      <x:c r="O140" s="50"/>
      <x:c r="P140" s="50"/>
    </x:row>
    <x:row r="141" ht="15" hidden="0" customHeight="1">
      <x:c r="A141" s="50"/>
      <x:c r="B141" s="50"/>
      <x:c r="O141" s="50"/>
      <x:c r="P141" s="50"/>
    </x:row>
    <x:row r="142" ht="15" hidden="0" customHeight="1">
      <x:c r="A142" s="50"/>
      <x:c r="B142" s="50"/>
      <x:c r="O142" s="50"/>
      <x:c r="P142" s="50"/>
    </x:row>
    <x:row r="143" ht="15" hidden="0" customHeight="1">
      <x:c r="A143" s="50"/>
      <x:c r="B143" s="50"/>
      <x:c r="O143" s="50"/>
      <x:c r="P143" s="50"/>
    </x:row>
    <x:row r="144" ht="15" hidden="0" customHeight="1">
      <x:c r="A144" s="50"/>
      <x:c r="B144" s="50"/>
      <x:c r="O144" s="50"/>
      <x:c r="P144" s="50"/>
    </x:row>
    <x:row r="145" ht="15" hidden="0" customHeight="1">
      <x:c r="A145" s="50"/>
      <x:c r="B145" s="50"/>
      <x:c r="O145" s="50"/>
      <x:c r="P145" s="50"/>
    </x:row>
    <x:row r="146" ht="15" hidden="0" customHeight="1">
      <x:c r="A146" s="50"/>
      <x:c r="B146" s="50"/>
      <x:c r="O146" s="50"/>
      <x:c r="P146" s="50"/>
    </x:row>
    <x:row r="147" ht="15" hidden="0" customHeight="1">
      <x:c r="A147" s="50"/>
      <x:c r="B147" s="50"/>
      <x:c r="O147" s="50"/>
      <x:c r="P147" s="50"/>
    </x:row>
    <x:row r="148" ht="15" hidden="0" customHeight="1">
      <x:c r="A148" s="50"/>
      <x:c r="B148" s="50"/>
      <x:c r="O148" s="50"/>
      <x:c r="P148" s="50"/>
    </x:row>
    <x:row r="149" ht="15" hidden="0" customHeight="1">
      <x:c r="A149" s="50"/>
      <x:c r="B149" s="50"/>
      <x:c r="O149" s="50"/>
      <x:c r="P149" s="50"/>
    </x:row>
    <x:row r="150" ht="15" hidden="0" customHeight="1">
      <x:c r="A150" s="50"/>
      <x:c r="B150" s="50"/>
      <x:c r="O150" s="50"/>
      <x:c r="P150" s="50"/>
    </x:row>
    <x:row r="151" ht="15" hidden="0" customHeight="1">
      <x:c r="A151" s="50"/>
      <x:c r="B151" s="50"/>
      <x:c r="O151" s="50"/>
      <x:c r="P151" s="50"/>
    </x:row>
    <x:row r="152" ht="15" hidden="0" customHeight="1">
      <x:c r="A152" s="50"/>
      <x:c r="B152" s="50"/>
      <x:c r="O152" s="50"/>
      <x:c r="P152" s="50"/>
    </x:row>
    <x:row r="153" ht="15" hidden="0" customHeight="1">
      <x:c r="A153" s="50"/>
      <x:c r="B153" s="50"/>
      <x:c r="O153" s="50"/>
      <x:c r="P153" s="50"/>
    </x:row>
    <x:row r="154" ht="15" hidden="0" customHeight="1">
      <x:c r="A154" s="50"/>
      <x:c r="B154" s="50"/>
      <x:c r="O154" s="50"/>
      <x:c r="P154" s="50"/>
    </x:row>
    <x:row r="155" ht="15" hidden="0" customHeight="1">
      <x:c r="A155" s="50"/>
      <x:c r="B155" s="50"/>
      <x:c r="O155" s="50"/>
      <x:c r="P155" s="50"/>
    </x:row>
    <x:row r="156" ht="15" hidden="0" customHeight="1">
      <x:c r="A156" s="50"/>
      <x:c r="B156" s="50"/>
      <x:c r="O156" s="50"/>
      <x:c r="P156" s="50"/>
    </x:row>
    <x:row r="157" ht="15" hidden="0" customHeight="1">
      <x:c r="A157" s="50"/>
      <x:c r="B157" s="50"/>
      <x:c r="O157" s="50"/>
      <x:c r="P157" s="50"/>
    </x:row>
    <x:row r="158" ht="15" hidden="0" customHeight="1">
      <x:c r="A158" s="50"/>
      <x:c r="B158" s="50"/>
      <x:c r="O158" s="50"/>
      <x:c r="P158" s="50"/>
    </x:row>
    <x:row r="159" ht="15" hidden="0" customHeight="1">
      <x:c r="A159" s="50"/>
      <x:c r="B159" s="50"/>
      <x:c r="O159" s="50"/>
      <x:c r="P159" s="50"/>
    </x:row>
    <x:row r="160" ht="15" hidden="0" customHeight="1">
      <x:c r="A160" s="50"/>
      <x:c r="B160" s="50"/>
      <x:c r="O160" s="50"/>
      <x:c r="P160" s="50"/>
    </x:row>
    <x:row r="161" ht="15" hidden="0" customHeight="1">
      <x:c r="A161" s="50"/>
      <x:c r="B161" s="50"/>
      <x:c r="O161" s="50"/>
      <x:c r="P161" s="50"/>
    </x:row>
    <x:row r="162" ht="15" hidden="0" customHeight="1">
      <x:c r="A162" s="50"/>
      <x:c r="B162" s="50"/>
      <x:c r="O162" s="50"/>
      <x:c r="P162" s="50"/>
    </x:row>
    <x:row r="163" ht="15" hidden="0" customHeight="1">
      <x:c r="A163" s="50"/>
      <x:c r="B163" s="50"/>
      <x:c r="O163" s="50"/>
      <x:c r="P163" s="50"/>
    </x:row>
    <x:row r="164" ht="15" hidden="0" customHeight="1">
      <x:c r="A164" s="50"/>
      <x:c r="B164" s="50"/>
      <x:c r="O164" s="50"/>
      <x:c r="P164" s="50"/>
    </x:row>
    <x:row r="165" ht="15" hidden="0" customHeight="1">
      <x:c r="A165" s="50"/>
      <x:c r="B165" s="50"/>
      <x:c r="O165" s="50"/>
      <x:c r="P165" s="50"/>
    </x:row>
    <x:row r="166" ht="15" hidden="0" customHeight="1">
      <x:c r="A166" s="50"/>
      <x:c r="B166" s="50"/>
      <x:c r="O166" s="50"/>
      <x:c r="P166" s="50"/>
    </x:row>
    <x:row r="167" ht="15" hidden="0" customHeight="1">
      <x:c r="A167" s="50"/>
      <x:c r="B167" s="50"/>
      <x:c r="O167" s="50"/>
      <x:c r="P167" s="50"/>
    </x:row>
    <x:row r="168" ht="15" hidden="0" customHeight="1">
      <x:c r="A168" s="50"/>
      <x:c r="B168" s="50"/>
      <x:c r="O168" s="50"/>
      <x:c r="P168" s="50"/>
    </x:row>
    <x:row r="169" ht="15" hidden="0" customHeight="1">
      <x:c r="A169" s="50"/>
      <x:c r="B169" s="50"/>
      <x:c r="O169" s="50"/>
      <x:c r="P169" s="50"/>
    </x:row>
    <x:row r="170" ht="15" hidden="0" customHeight="1">
      <x:c r="A170" s="50"/>
      <x:c r="B170" s="50"/>
      <x:c r="O170" s="50"/>
      <x:c r="P170" s="50"/>
    </x:row>
    <x:row r="171" ht="15" hidden="0" customHeight="1">
      <x:c r="A171" s="50"/>
      <x:c r="B171" s="50"/>
      <x:c r="O171" s="50"/>
      <x:c r="P171" s="50"/>
    </x:row>
    <x:row r="172" ht="15" hidden="0" customHeight="1">
      <x:c r="A172" s="50"/>
      <x:c r="B172" s="50"/>
      <x:c r="O172" s="50"/>
      <x:c r="P172" s="50"/>
    </x:row>
    <x:row r="173" ht="15" hidden="0" customHeight="1">
      <x:c r="A173" s="50"/>
      <x:c r="B173" s="50"/>
      <x:c r="O173" s="50"/>
      <x:c r="P173" s="50"/>
    </x:row>
    <x:row r="174" ht="15" hidden="0" customHeight="1">
      <x:c r="A174" s="50"/>
      <x:c r="B174" s="50"/>
      <x:c r="O174" s="50"/>
      <x:c r="P174" s="50"/>
    </x:row>
    <x:row r="175" ht="15" hidden="0" customHeight="1">
      <x:c r="A175" s="50"/>
      <x:c r="B175" s="50"/>
      <x:c r="O175" s="50"/>
      <x:c r="P175" s="50"/>
    </x:row>
    <x:row r="176" ht="15" hidden="0" customHeight="1">
      <x:c r="A176" s="50"/>
      <x:c r="B176" s="50"/>
      <x:c r="O176" s="50"/>
      <x:c r="P176" s="50"/>
    </x:row>
    <x:row r="177" ht="15" hidden="0" customHeight="1">
      <x:c r="A177" s="50"/>
      <x:c r="B177" s="50"/>
      <x:c r="O177" s="50"/>
      <x:c r="P177" s="50"/>
    </x:row>
    <x:row r="178" ht="15" hidden="0" customHeight="1">
      <x:c r="A178" s="50"/>
      <x:c r="B178" s="50"/>
      <x:c r="O178" s="50"/>
      <x:c r="P178" s="50"/>
    </x:row>
    <x:row r="179" ht="15" hidden="0" customHeight="1">
      <x:c r="A179" s="50"/>
      <x:c r="B179" s="50"/>
      <x:c r="O179" s="50"/>
      <x:c r="P179" s="50"/>
    </x:row>
    <x:row r="180" ht="15" hidden="0" customHeight="1">
      <x:c r="A180" s="50"/>
      <x:c r="B180" s="50"/>
      <x:c r="O180" s="50"/>
      <x:c r="P180" s="50"/>
    </x:row>
    <x:row r="181" ht="15" hidden="0" customHeight="1">
      <x:c r="A181" s="50"/>
      <x:c r="B181" s="50"/>
      <x:c r="O181" s="50"/>
      <x:c r="P181" s="50"/>
    </x:row>
    <x:row r="182" ht="15" hidden="0" customHeight="1">
      <x:c r="A182" s="50"/>
      <x:c r="B182" s="50"/>
      <x:c r="O182" s="50"/>
      <x:c r="P182" s="50"/>
    </x:row>
    <x:row r="183" ht="15" hidden="0" customHeight="1">
      <x:c r="A183" s="50"/>
      <x:c r="B183" s="50"/>
      <x:c r="O183" s="50"/>
      <x:c r="P183" s="50"/>
    </x:row>
    <x:row r="184" ht="15" hidden="0" customHeight="1">
      <x:c r="A184" s="50"/>
      <x:c r="B184" s="50"/>
      <x:c r="O184" s="50"/>
      <x:c r="P184" s="50"/>
    </x:row>
    <x:row r="185" ht="15" hidden="0" customHeight="1">
      <x:c r="A185" s="50"/>
      <x:c r="B185" s="50"/>
      <x:c r="O185" s="50"/>
      <x:c r="P185" s="50"/>
    </x:row>
    <x:row r="186" ht="15" hidden="0" customHeight="1">
      <x:c r="A186" s="50"/>
      <x:c r="B186" s="50"/>
      <x:c r="O186" s="50"/>
      <x:c r="P186" s="50"/>
    </x:row>
    <x:row r="187" ht="15" hidden="0" customHeight="1">
      <x:c r="A187" s="50"/>
      <x:c r="B187" s="50"/>
      <x:c r="O187" s="50"/>
      <x:c r="P187" s="50"/>
    </x:row>
    <x:row r="188" ht="15" hidden="0" customHeight="1">
      <x:c r="A188" s="50"/>
      <x:c r="B188" s="50"/>
      <x:c r="O188" s="50"/>
      <x:c r="P188" s="50"/>
    </x:row>
    <x:row r="189" ht="15" hidden="0" customHeight="1">
      <x:c r="A189" s="50"/>
      <x:c r="B189" s="50"/>
      <x:c r="O189" s="50"/>
      <x:c r="P189" s="50"/>
    </x:row>
    <x:row r="190" ht="15" hidden="0" customHeight="1">
      <x:c r="A190" s="50"/>
      <x:c r="B190" s="50"/>
      <x:c r="O190" s="50"/>
      <x:c r="P190" s="50"/>
    </x:row>
    <x:row r="191" ht="15" hidden="0" customHeight="1">
      <x:c r="A191" s="50"/>
      <x:c r="B191" s="50"/>
      <x:c r="O191" s="50"/>
      <x:c r="P191" s="50"/>
    </x:row>
    <x:row r="192" ht="15" hidden="0" customHeight="1">
      <x:c r="A192" s="50"/>
      <x:c r="B192" s="50"/>
      <x:c r="O192" s="50"/>
      <x:c r="P192" s="50"/>
    </x:row>
    <x:row r="193" ht="15" hidden="0" customHeight="1">
      <x:c r="A193" s="50"/>
      <x:c r="B193" s="50"/>
      <x:c r="O193" s="50"/>
      <x:c r="P193" s="50"/>
    </x:row>
    <x:row r="194" ht="15" hidden="0" customHeight="1">
      <x:c r="A194" s="50"/>
      <x:c r="B194" s="50"/>
      <x:c r="O194" s="50"/>
      <x:c r="P194" s="50"/>
    </x:row>
    <x:row r="195" ht="15" hidden="0" customHeight="1">
      <x:c r="A195" s="50"/>
      <x:c r="B195" s="50"/>
      <x:c r="O195" s="50"/>
      <x:c r="P195" s="50"/>
    </x:row>
    <x:row r="196" ht="15" hidden="0" customHeight="1">
      <x:c r="A196" s="50"/>
      <x:c r="B196" s="50"/>
      <x:c r="O196" s="50"/>
      <x:c r="P196" s="50"/>
    </x:row>
    <x:row r="197" ht="15" hidden="0" customHeight="1">
      <x:c r="A197" s="50"/>
      <x:c r="B197" s="50"/>
      <x:c r="O197" s="50"/>
      <x:c r="P197" s="50"/>
    </x:row>
    <x:row r="198" ht="15" hidden="0" customHeight="1">
      <x:c r="A198" s="50"/>
      <x:c r="B198" s="50"/>
      <x:c r="O198" s="50"/>
      <x:c r="P198" s="50"/>
    </x:row>
    <x:row r="199" ht="15" hidden="0" customHeight="1">
      <x:c r="A199" s="50"/>
      <x:c r="B199" s="50"/>
      <x:c r="O199" s="50"/>
      <x:c r="P199" s="50"/>
    </x:row>
    <x:row r="200" ht="15" hidden="0" customHeight="1">
      <x:c r="A200" s="50"/>
      <x:c r="B200" s="50"/>
      <x:c r="O200" s="50"/>
      <x:c r="P200" s="50"/>
    </x:row>
    <x:row r="201" ht="15" hidden="0" customHeight="1">
      <x:c r="A201" s="50"/>
      <x:c r="B201" s="50"/>
      <x:c r="O201" s="50"/>
      <x:c r="P201" s="50"/>
    </x:row>
    <x:row r="202" ht="15" hidden="0" customHeight="1">
      <x:c r="A202" s="50"/>
      <x:c r="B202" s="50"/>
      <x:c r="O202" s="50"/>
      <x:c r="P202" s="50"/>
    </x:row>
    <x:row r="203" ht="15" hidden="0" customHeight="1">
      <x:c r="A203" s="50"/>
      <x:c r="B203" s="50"/>
      <x:c r="O203" s="50"/>
      <x:c r="P203" s="50"/>
    </x:row>
    <x:row r="204" ht="15" hidden="0" customHeight="1">
      <x:c r="A204" s="50"/>
      <x:c r="B204" s="50"/>
      <x:c r="O204" s="50"/>
      <x:c r="P204" s="50"/>
    </x:row>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5">
    <x:dataValidation type="list" sqref="D5:D204">
      <x:formula1>Dropdowns!$A$2:$A$7</x:formula1>
    </x:dataValidation>
    <x:dataValidation type="list" sqref="H5:H204">
      <x:formula1>Dropdowns!$D$2:$D$8</x:formula1>
    </x:dataValidation>
    <x:dataValidation type="list" sqref="I5:I204">
      <x:formula1>Dropdowns!$C$2:$C$6</x:formula1>
    </x:dataValidation>
    <x:dataValidation type="list" sqref="M5:M204">
      <x:formula1>Dropdowns!$B$2:$B$11</x:formula1>
    </x:dataValidation>
    <x:dataValidation type="list" sqref="N5:N204">
      <x:formula1>"Yes,No"</x:formula1>
    </x:dataValidation>
  </x:dataValidations>
  <x:pageMargins left="0.7" right="0.7" top="0.75" bottom="0.75" header="0.3" footer="0.3"/>
  <x:tableParts count="1">
    <x:tablePart xmlns:r="http://schemas.openxmlformats.org/officeDocument/2006/relationships" r:id="R00c1d520b75047d6"/>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24" hidden="0" customWidth="1"/>
    <x:col min="5" max="5" width="18" hidden="0" customWidth="1"/>
    <x:col min="6" max="6" width="14" hidden="0" customWidth="1"/>
    <x:col min="7" max="7" width="16" hidden="0" customWidth="1"/>
    <x:col min="8" max="8" width="18" hidden="0" customWidth="1"/>
    <x:col min="9" max="9" width="18" hidden="0" customWidth="1"/>
    <x:col min="10" max="10" width="36" hidden="0" customWidth="1"/>
    <x:col min="11" max="11" width="12" hidden="0" customWidth="1"/>
    <x:col min="12" max="12" width="14" hidden="0" customWidth="1"/>
    <x:col min="13" max="13" width="50" hidden="0" customWidth="1"/>
  </x:cols>
  <x:sheetData>
    <x:row r="1" ht="30" hidden="0" customHeight="1">
      <x:c r="A1" s="5" t="str">
        <x:v>Activity Log</x:v>
      </x:c>
      <x:c r="B1" s="5"/>
      <x:c r="C1" s="5"/>
      <x:c r="D1" s="5"/>
      <x:c r="E1" s="5"/>
      <x:c r="F1" s="5"/>
      <x:c r="G1" s="5"/>
      <x:c r="H1" s="5"/>
      <x:c r="J1" s="34"/>
      <x:c r="M1" s="34"/>
    </x:row>
    <x:row r="2" ht="38" hidden="0" customHeight="1">
      <x:c r="A2" s="13" t="str">
        <x:v>Immutable operating log: every touch, reply, call, intro ask, and follow-up.</x:v>
      </x:c>
      <x:c r="B2" s="13"/>
      <x:c r="C2" s="13"/>
      <x:c r="D2" s="13"/>
      <x:c r="E2" s="13"/>
      <x:c r="F2" s="13"/>
      <x:c r="G2" s="13"/>
      <x:c r="H2" s="13"/>
    </x:row>
    <x:row r="3"/>
    <x:row r="4" ht="26.399999618530273" hidden="0" customHeight="1">
      <x:c r="A4" s="22" t="str">
        <x:v>Date</x:v>
      </x:c>
      <x:c r="B4" s="22" t="str">
        <x:v>Target ID</x:v>
      </x:c>
      <x:c r="C4" s="22" t="str">
        <x:v>Name</x:v>
      </x:c>
      <x:c r="D4" s="22" t="str">
        <x:v>Organization</x:v>
      </x:c>
      <x:c r="E4" s="22" t="str">
        <x:v>Lane</x:v>
      </x:c>
      <x:c r="F4" s="22" t="str">
        <x:v>Channel</x:v>
      </x:c>
      <x:c r="G4" s="22" t="str">
        <x:v>Touch Type</x:v>
      </x:c>
      <x:c r="H4" s="22" t="str">
        <x:v>Message Version</x:v>
      </x:c>
      <x:c r="I4" s="22" t="str">
        <x:v>Outcome</x:v>
      </x:c>
      <x:c r="J4" s="22" t="str">
        <x:v>Next Action</x:v>
      </x:c>
      <x:c r="K4" s="22" t="str">
        <x:v>Follow-Up Date</x:v>
      </x:c>
      <x:c r="L4" s="22" t="str">
        <x:v>Owner</x:v>
      </x:c>
      <x:c r="M4" s="22" t="str">
        <x:v>Notes</x:v>
      </x:c>
    </x:row>
    <x:row r="5" ht="15" hidden="0" customHeight="1">
      <x:c r="A5" s="50"/>
      <x:c r="K5" s="50"/>
    </x:row>
    <x:row r="6" ht="15" hidden="0" customHeight="1">
      <x:c r="A6" s="50"/>
      <x:c r="K6" s="50"/>
    </x:row>
    <x:row r="7" ht="15" hidden="0" customHeight="1">
      <x:c r="A7" s="50"/>
      <x:c r="K7" s="50"/>
    </x:row>
    <x:row r="8" ht="15" hidden="0" customHeight="1">
      <x:c r="A8" s="50"/>
      <x:c r="K8" s="50"/>
    </x:row>
    <x:row r="9" ht="15" hidden="0" customHeight="1">
      <x:c r="A9" s="50"/>
      <x:c r="K9" s="50"/>
    </x:row>
    <x:row r="10" ht="15" hidden="0" customHeight="1">
      <x:c r="A10" s="50"/>
      <x:c r="K10" s="50"/>
    </x:row>
    <x:row r="11" ht="15" hidden="0" customHeight="1">
      <x:c r="A11" s="50"/>
      <x:c r="K11" s="50"/>
    </x:row>
    <x:row r="12" ht="15" hidden="0" customHeight="1">
      <x:c r="A12" s="50"/>
      <x:c r="K12" s="50"/>
    </x:row>
    <x:row r="13" ht="15" hidden="0" customHeight="1">
      <x:c r="A13" s="50"/>
      <x:c r="K13" s="50"/>
    </x:row>
    <x:row r="14" ht="15" hidden="0" customHeight="1">
      <x:c r="A14" s="50"/>
      <x:c r="K14" s="50"/>
    </x:row>
    <x:row r="15" ht="15" hidden="0" customHeight="1">
      <x:c r="A15" s="50"/>
      <x:c r="K15" s="50"/>
    </x:row>
    <x:row r="16" ht="15" hidden="0" customHeight="1">
      <x:c r="A16" s="50"/>
      <x:c r="K16" s="50"/>
    </x:row>
    <x:row r="17" ht="15" hidden="0" customHeight="1">
      <x:c r="A17" s="50"/>
      <x:c r="K17" s="50"/>
    </x:row>
    <x:row r="18" ht="15" hidden="0" customHeight="1">
      <x:c r="A18" s="50"/>
      <x:c r="K18" s="50"/>
    </x:row>
    <x:row r="19" ht="15" hidden="0" customHeight="1">
      <x:c r="A19" s="50"/>
      <x:c r="K19" s="50"/>
    </x:row>
    <x:row r="20" ht="15" hidden="0" customHeight="1">
      <x:c r="A20" s="50"/>
      <x:c r="K20" s="50"/>
    </x:row>
    <x:row r="21" ht="15" hidden="0" customHeight="1">
      <x:c r="A21" s="50"/>
      <x:c r="K21" s="50"/>
    </x:row>
    <x:row r="22" ht="15" hidden="0" customHeight="1">
      <x:c r="A22" s="50"/>
      <x:c r="K22" s="50"/>
    </x:row>
    <x:row r="23" ht="15" hidden="0" customHeight="1">
      <x:c r="A23" s="50"/>
      <x:c r="K23" s="50"/>
    </x:row>
    <x:row r="24" ht="15" hidden="0" customHeight="1">
      <x:c r="A24" s="50"/>
      <x:c r="K24" s="50"/>
    </x:row>
    <x:row r="25" ht="15" hidden="0" customHeight="1">
      <x:c r="A25" s="50"/>
      <x:c r="K25" s="50"/>
    </x:row>
    <x:row r="26" ht="15" hidden="0" customHeight="1">
      <x:c r="A26" s="50"/>
      <x:c r="K26" s="50"/>
    </x:row>
    <x:row r="27" ht="15" hidden="0" customHeight="1">
      <x:c r="A27" s="50"/>
      <x:c r="K27" s="50"/>
    </x:row>
    <x:row r="28" ht="15" hidden="0" customHeight="1">
      <x:c r="A28" s="50"/>
      <x:c r="K28" s="50"/>
    </x:row>
    <x:row r="29" ht="15" hidden="0" customHeight="1">
      <x:c r="A29" s="50"/>
      <x:c r="K29" s="50"/>
    </x:row>
    <x:row r="30" ht="15" hidden="0" customHeight="1">
      <x:c r="A30" s="50"/>
      <x:c r="K30" s="50"/>
    </x:row>
    <x:row r="31" ht="15" hidden="0" customHeight="1">
      <x:c r="A31" s="50"/>
      <x:c r="K31" s="50"/>
    </x:row>
    <x:row r="32" ht="15" hidden="0" customHeight="1">
      <x:c r="A32" s="50"/>
      <x:c r="K32" s="50"/>
    </x:row>
    <x:row r="33" ht="15" hidden="0" customHeight="1">
      <x:c r="A33" s="50"/>
      <x:c r="K33" s="50"/>
    </x:row>
    <x:row r="34" ht="15" hidden="0" customHeight="1">
      <x:c r="A34" s="50"/>
      <x:c r="K34" s="50"/>
    </x:row>
    <x:row r="35" ht="15" hidden="0" customHeight="1">
      <x:c r="A35" s="50"/>
      <x:c r="K35" s="50"/>
    </x:row>
    <x:row r="36" ht="15" hidden="0" customHeight="1">
      <x:c r="A36" s="50"/>
      <x:c r="K36" s="50"/>
    </x:row>
    <x:row r="37" ht="15" hidden="0" customHeight="1">
      <x:c r="A37" s="50"/>
      <x:c r="K37" s="50"/>
    </x:row>
    <x:row r="38" ht="15" hidden="0" customHeight="1">
      <x:c r="A38" s="50"/>
      <x:c r="K38" s="50"/>
    </x:row>
    <x:row r="39" ht="15" hidden="0" customHeight="1">
      <x:c r="A39" s="50"/>
      <x:c r="K39" s="50"/>
    </x:row>
    <x:row r="40" ht="15" hidden="0" customHeight="1">
      <x:c r="A40" s="50"/>
      <x:c r="K40" s="50"/>
    </x:row>
    <x:row r="41" ht="15" hidden="0" customHeight="1">
      <x:c r="A41" s="50"/>
      <x:c r="K41" s="50"/>
    </x:row>
    <x:row r="42" ht="15" hidden="0" customHeight="1">
      <x:c r="A42" s="50"/>
      <x:c r="K42" s="50"/>
    </x:row>
    <x:row r="43" ht="15" hidden="0" customHeight="1">
      <x:c r="A43" s="50"/>
      <x:c r="K43" s="50"/>
    </x:row>
    <x:row r="44" ht="15" hidden="0" customHeight="1">
      <x:c r="A44" s="50"/>
      <x:c r="K44" s="50"/>
    </x:row>
    <x:row r="45" ht="15" hidden="0" customHeight="1">
      <x:c r="A45" s="50"/>
      <x:c r="K45" s="50"/>
    </x:row>
    <x:row r="46" ht="15" hidden="0" customHeight="1">
      <x:c r="A46" s="50"/>
      <x:c r="K46" s="50"/>
    </x:row>
    <x:row r="47" ht="15" hidden="0" customHeight="1">
      <x:c r="A47" s="50"/>
      <x:c r="K47" s="50"/>
    </x:row>
    <x:row r="48" ht="15" hidden="0" customHeight="1">
      <x:c r="A48" s="50"/>
      <x:c r="K48" s="50"/>
    </x:row>
    <x:row r="49" ht="15" hidden="0" customHeight="1">
      <x:c r="A49" s="50"/>
      <x:c r="K49" s="50"/>
    </x:row>
    <x:row r="50" ht="15" hidden="0" customHeight="1">
      <x:c r="A50" s="50"/>
      <x:c r="K50" s="50"/>
    </x:row>
    <x:row r="51" ht="15" hidden="0" customHeight="1">
      <x:c r="A51" s="50"/>
      <x:c r="K51" s="50"/>
    </x:row>
    <x:row r="52" ht="15" hidden="0" customHeight="1">
      <x:c r="A52" s="50"/>
      <x:c r="K52" s="50"/>
    </x:row>
    <x:row r="53" ht="15" hidden="0" customHeight="1">
      <x:c r="A53" s="50"/>
      <x:c r="K53" s="50"/>
    </x:row>
    <x:row r="54" ht="15" hidden="0" customHeight="1">
      <x:c r="A54" s="50"/>
      <x:c r="K54" s="50"/>
    </x:row>
    <x:row r="55" ht="15" hidden="0" customHeight="1">
      <x:c r="A55" s="50"/>
      <x:c r="K55" s="50"/>
    </x:row>
    <x:row r="56" ht="15" hidden="0" customHeight="1">
      <x:c r="A56" s="50"/>
      <x:c r="K56" s="50"/>
    </x:row>
    <x:row r="57" ht="15" hidden="0" customHeight="1">
      <x:c r="A57" s="50"/>
      <x:c r="K57" s="50"/>
    </x:row>
    <x:row r="58" ht="15" hidden="0" customHeight="1">
      <x:c r="A58" s="50"/>
      <x:c r="K58" s="50"/>
    </x:row>
    <x:row r="59" ht="15" hidden="0" customHeight="1">
      <x:c r="A59" s="50"/>
      <x:c r="K59" s="50"/>
    </x:row>
    <x:row r="60" ht="15" hidden="0" customHeight="1">
      <x:c r="A60" s="50"/>
      <x:c r="K60" s="50"/>
    </x:row>
    <x:row r="61" ht="15" hidden="0" customHeight="1">
      <x:c r="A61" s="50"/>
      <x:c r="K61" s="50"/>
    </x:row>
    <x:row r="62" ht="15" hidden="0" customHeight="1">
      <x:c r="A62" s="50"/>
      <x:c r="K62" s="50"/>
    </x:row>
    <x:row r="63" ht="15" hidden="0" customHeight="1">
      <x:c r="A63" s="50"/>
      <x:c r="K63" s="50"/>
    </x:row>
    <x:row r="64" ht="15" hidden="0" customHeight="1">
      <x:c r="A64" s="50"/>
      <x:c r="K64" s="50"/>
    </x:row>
    <x:row r="65" ht="15" hidden="0" customHeight="1">
      <x:c r="A65" s="50"/>
      <x:c r="K65" s="50"/>
    </x:row>
    <x:row r="66" ht="15" hidden="0" customHeight="1">
      <x:c r="A66" s="50"/>
      <x:c r="K66" s="50"/>
    </x:row>
    <x:row r="67" ht="15" hidden="0" customHeight="1">
      <x:c r="A67" s="50"/>
      <x:c r="K67" s="50"/>
    </x:row>
    <x:row r="68" ht="15" hidden="0" customHeight="1">
      <x:c r="A68" s="50"/>
      <x:c r="K68" s="50"/>
    </x:row>
    <x:row r="69" ht="15" hidden="0" customHeight="1">
      <x:c r="A69" s="50"/>
      <x:c r="K69" s="50"/>
    </x:row>
    <x:row r="70" ht="15" hidden="0" customHeight="1">
      <x:c r="A70" s="50"/>
      <x:c r="K70" s="50"/>
    </x:row>
    <x:row r="71" ht="15" hidden="0" customHeight="1">
      <x:c r="A71" s="50"/>
      <x:c r="K71" s="50"/>
    </x:row>
    <x:row r="72" ht="15" hidden="0" customHeight="1">
      <x:c r="A72" s="50"/>
      <x:c r="K72" s="50"/>
    </x:row>
    <x:row r="73" ht="15" hidden="0" customHeight="1">
      <x:c r="A73" s="50"/>
      <x:c r="K73" s="50"/>
    </x:row>
    <x:row r="74" ht="15" hidden="0" customHeight="1">
      <x:c r="A74" s="50"/>
      <x:c r="K74" s="50"/>
    </x:row>
    <x:row r="75" ht="15" hidden="0" customHeight="1">
      <x:c r="A75" s="50"/>
      <x:c r="K75" s="50"/>
    </x:row>
    <x:row r="76" ht="15" hidden="0" customHeight="1">
      <x:c r="A76" s="50"/>
      <x:c r="K76" s="50"/>
    </x:row>
    <x:row r="77" ht="15" hidden="0" customHeight="1">
      <x:c r="A77" s="50"/>
      <x:c r="K77" s="50"/>
    </x:row>
    <x:row r="78" ht="15" hidden="0" customHeight="1">
      <x:c r="A78" s="50"/>
      <x:c r="K78" s="50"/>
    </x:row>
    <x:row r="79" ht="15" hidden="0" customHeight="1">
      <x:c r="A79" s="50"/>
      <x:c r="K79" s="50"/>
    </x:row>
    <x:row r="80" ht="15" hidden="0" customHeight="1">
      <x:c r="A80" s="50"/>
      <x:c r="K80" s="50"/>
    </x:row>
    <x:row r="81" ht="15" hidden="0" customHeight="1">
      <x:c r="A81" s="50"/>
      <x:c r="K81" s="50"/>
    </x:row>
    <x:row r="82" ht="15" hidden="0" customHeight="1">
      <x:c r="A82" s="50"/>
      <x:c r="K82" s="50"/>
    </x:row>
    <x:row r="83" ht="15" hidden="0" customHeight="1">
      <x:c r="A83" s="50"/>
      <x:c r="K83" s="50"/>
    </x:row>
    <x:row r="84" ht="15" hidden="0" customHeight="1">
      <x:c r="A84" s="50"/>
      <x:c r="K84" s="50"/>
    </x:row>
    <x:row r="85" ht="15" hidden="0" customHeight="1">
      <x:c r="A85" s="50"/>
      <x:c r="K85" s="50"/>
    </x:row>
    <x:row r="86" ht="15" hidden="0" customHeight="1">
      <x:c r="A86" s="50"/>
      <x:c r="K86" s="50"/>
    </x:row>
    <x:row r="87" ht="15" hidden="0" customHeight="1">
      <x:c r="A87" s="50"/>
      <x:c r="K87" s="50"/>
    </x:row>
    <x:row r="88" ht="15" hidden="0" customHeight="1">
      <x:c r="A88" s="50"/>
      <x:c r="K88" s="50"/>
    </x:row>
    <x:row r="89" ht="15" hidden="0" customHeight="1">
      <x:c r="A89" s="50"/>
      <x:c r="K89" s="50"/>
    </x:row>
    <x:row r="90" ht="15" hidden="0" customHeight="1">
      <x:c r="A90" s="50"/>
      <x:c r="K90" s="50"/>
    </x:row>
    <x:row r="91" ht="15" hidden="0" customHeight="1">
      <x:c r="A91" s="50"/>
      <x:c r="K91" s="50"/>
    </x:row>
    <x:row r="92" ht="15" hidden="0" customHeight="1">
      <x:c r="A92" s="50"/>
      <x:c r="K92" s="50"/>
    </x:row>
    <x:row r="93" ht="15" hidden="0" customHeight="1">
      <x:c r="A93" s="50"/>
      <x:c r="K93" s="50"/>
    </x:row>
    <x:row r="94" ht="15" hidden="0" customHeight="1">
      <x:c r="A94" s="50"/>
      <x:c r="K94" s="50"/>
    </x:row>
    <x:row r="95" ht="15" hidden="0" customHeight="1">
      <x:c r="A95" s="50"/>
      <x:c r="K95" s="50"/>
    </x:row>
    <x:row r="96" ht="15" hidden="0" customHeight="1">
      <x:c r="A96" s="50"/>
      <x:c r="K96" s="50"/>
    </x:row>
    <x:row r="97" ht="15" hidden="0" customHeight="1">
      <x:c r="A97" s="50"/>
      <x:c r="K97" s="50"/>
    </x:row>
    <x:row r="98" ht="15" hidden="0" customHeight="1">
      <x:c r="A98" s="50"/>
      <x:c r="K98" s="50"/>
    </x:row>
    <x:row r="99" ht="15" hidden="0" customHeight="1">
      <x:c r="A99" s="50"/>
      <x:c r="K99" s="50"/>
    </x:row>
    <x:row r="100" ht="15" hidden="0" customHeight="1">
      <x:c r="A100" s="50"/>
      <x:c r="K100" s="50"/>
    </x:row>
    <x:row r="101" ht="15" hidden="0" customHeight="1">
      <x:c r="A101" s="50"/>
      <x:c r="K101" s="50"/>
    </x:row>
    <x:row r="102" ht="15" hidden="0" customHeight="1">
      <x:c r="A102" s="50"/>
      <x:c r="K102" s="50"/>
    </x:row>
    <x:row r="103" ht="15" hidden="0" customHeight="1">
      <x:c r="A103" s="50"/>
      <x:c r="K103" s="50"/>
    </x:row>
    <x:row r="104" ht="15" hidden="0" customHeight="1">
      <x:c r="A104" s="50"/>
      <x:c r="K104" s="50"/>
    </x:row>
    <x:row r="105" ht="15" hidden="0" customHeight="1">
      <x:c r="A105" s="50"/>
      <x:c r="K105" s="50"/>
    </x:row>
    <x:row r="106" ht="15" hidden="0" customHeight="1">
      <x:c r="A106" s="50"/>
      <x:c r="K106" s="50"/>
    </x:row>
    <x:row r="107" ht="15" hidden="0" customHeight="1">
      <x:c r="A107" s="50"/>
      <x:c r="K107" s="50"/>
    </x:row>
    <x:row r="108" ht="15" hidden="0" customHeight="1">
      <x:c r="A108" s="50"/>
      <x:c r="K108" s="50"/>
    </x:row>
    <x:row r="109" ht="15" hidden="0" customHeight="1">
      <x:c r="A109" s="50"/>
      <x:c r="K109" s="50"/>
    </x:row>
    <x:row r="110" ht="15" hidden="0" customHeight="1">
      <x:c r="A110" s="50"/>
      <x:c r="K110" s="50"/>
    </x:row>
    <x:row r="111" ht="15" hidden="0" customHeight="1">
      <x:c r="A111" s="50"/>
      <x:c r="K111" s="50"/>
    </x:row>
    <x:row r="112" ht="15" hidden="0" customHeight="1">
      <x:c r="A112" s="50"/>
      <x:c r="K112" s="50"/>
    </x:row>
    <x:row r="113" ht="15" hidden="0" customHeight="1">
      <x:c r="A113" s="50"/>
      <x:c r="K113" s="50"/>
    </x:row>
    <x:row r="114" ht="15" hidden="0" customHeight="1">
      <x:c r="A114" s="50"/>
      <x:c r="K114" s="50"/>
    </x:row>
    <x:row r="115" ht="15" hidden="0" customHeight="1">
      <x:c r="A115" s="50"/>
      <x:c r="K115" s="50"/>
    </x:row>
    <x:row r="116" ht="15" hidden="0" customHeight="1">
      <x:c r="A116" s="50"/>
      <x:c r="K116" s="50"/>
    </x:row>
    <x:row r="117" ht="15" hidden="0" customHeight="1">
      <x:c r="A117" s="50"/>
      <x:c r="K117" s="50"/>
    </x:row>
    <x:row r="118" ht="15" hidden="0" customHeight="1">
      <x:c r="A118" s="50"/>
      <x:c r="K118" s="50"/>
    </x:row>
    <x:row r="119" ht="15" hidden="0" customHeight="1">
      <x:c r="A119" s="50"/>
      <x:c r="K119" s="50"/>
    </x:row>
    <x:row r="120" ht="15" hidden="0" customHeight="1">
      <x:c r="A120" s="50"/>
      <x:c r="K120" s="50"/>
    </x:row>
    <x:row r="121" ht="15" hidden="0" customHeight="1">
      <x:c r="A121" s="50"/>
      <x:c r="K121" s="50"/>
    </x:row>
    <x:row r="122" ht="15" hidden="0" customHeight="1">
      <x:c r="A122" s="50"/>
      <x:c r="K122" s="50"/>
    </x:row>
    <x:row r="123" ht="15" hidden="0" customHeight="1">
      <x:c r="A123" s="50"/>
      <x:c r="K123" s="50"/>
    </x:row>
    <x:row r="124" ht="15" hidden="0" customHeight="1">
      <x:c r="A124" s="50"/>
      <x:c r="K124" s="50"/>
    </x:row>
    <x:row r="125" ht="15" hidden="0" customHeight="1">
      <x:c r="A125" s="50"/>
      <x:c r="K125" s="50"/>
    </x:row>
    <x:row r="126" ht="15" hidden="0" customHeight="1">
      <x:c r="A126" s="50"/>
      <x:c r="K126" s="50"/>
    </x:row>
    <x:row r="127" ht="15" hidden="0" customHeight="1">
      <x:c r="A127" s="50"/>
      <x:c r="K127" s="50"/>
    </x:row>
    <x:row r="128" ht="15" hidden="0" customHeight="1">
      <x:c r="A128" s="50"/>
      <x:c r="K128" s="50"/>
    </x:row>
    <x:row r="129" ht="15" hidden="0" customHeight="1">
      <x:c r="A129" s="50"/>
      <x:c r="K129" s="50"/>
    </x:row>
    <x:row r="130" ht="15" hidden="0" customHeight="1">
      <x:c r="A130" s="50"/>
      <x:c r="K130" s="50"/>
    </x:row>
    <x:row r="131" ht="15" hidden="0" customHeight="1">
      <x:c r="A131" s="50"/>
      <x:c r="K131" s="50"/>
    </x:row>
    <x:row r="132" ht="15" hidden="0" customHeight="1">
      <x:c r="A132" s="50"/>
      <x:c r="K132" s="50"/>
    </x:row>
    <x:row r="133" ht="15" hidden="0" customHeight="1">
      <x:c r="A133" s="50"/>
      <x:c r="K133" s="50"/>
    </x:row>
    <x:row r="134" ht="15" hidden="0" customHeight="1">
      <x:c r="A134" s="50"/>
      <x:c r="K134" s="50"/>
    </x:row>
    <x:row r="135" ht="15" hidden="0" customHeight="1">
      <x:c r="A135" s="50"/>
      <x:c r="K135" s="50"/>
    </x:row>
    <x:row r="136" ht="15" hidden="0" customHeight="1">
      <x:c r="A136" s="50"/>
      <x:c r="K136" s="50"/>
    </x:row>
    <x:row r="137" ht="15" hidden="0" customHeight="1">
      <x:c r="A137" s="50"/>
      <x:c r="K137" s="50"/>
    </x:row>
    <x:row r="138" ht="15" hidden="0" customHeight="1">
      <x:c r="A138" s="50"/>
      <x:c r="K138" s="50"/>
    </x:row>
    <x:row r="139" ht="15" hidden="0" customHeight="1">
      <x:c r="A139" s="50"/>
      <x:c r="K139" s="50"/>
    </x:row>
    <x:row r="140" ht="15" hidden="0" customHeight="1">
      <x:c r="A140" s="50"/>
      <x:c r="K140" s="50"/>
    </x:row>
    <x:row r="141" ht="15" hidden="0" customHeight="1">
      <x:c r="A141" s="50"/>
      <x:c r="K141" s="50"/>
    </x:row>
    <x:row r="142" ht="15" hidden="0" customHeight="1">
      <x:c r="A142" s="50"/>
      <x:c r="K142" s="50"/>
    </x:row>
    <x:row r="143" ht="15" hidden="0" customHeight="1">
      <x:c r="A143" s="50"/>
      <x:c r="K143" s="50"/>
    </x:row>
    <x:row r="144" ht="15" hidden="0" customHeight="1">
      <x:c r="A144" s="50"/>
      <x:c r="K144" s="50"/>
    </x:row>
    <x:row r="145" ht="15" hidden="0" customHeight="1">
      <x:c r="A145" s="50"/>
      <x:c r="K145" s="50"/>
    </x:row>
    <x:row r="146" ht="15" hidden="0" customHeight="1">
      <x:c r="A146" s="50"/>
      <x:c r="K146" s="50"/>
    </x:row>
    <x:row r="147" ht="15" hidden="0" customHeight="1">
      <x:c r="A147" s="50"/>
      <x:c r="K147" s="50"/>
    </x:row>
    <x:row r="148" ht="15" hidden="0" customHeight="1">
      <x:c r="A148" s="50"/>
      <x:c r="K148" s="50"/>
    </x:row>
    <x:row r="149" ht="15" hidden="0" customHeight="1">
      <x:c r="A149" s="50"/>
      <x:c r="K149" s="50"/>
    </x:row>
    <x:row r="150" ht="15" hidden="0" customHeight="1">
      <x:c r="A150" s="50"/>
      <x:c r="K150" s="50"/>
    </x:row>
    <x:row r="151" ht="15" hidden="0" customHeight="1">
      <x:c r="A151" s="50"/>
      <x:c r="K151" s="50"/>
    </x:row>
    <x:row r="152" ht="15" hidden="0" customHeight="1">
      <x:c r="A152" s="50"/>
      <x:c r="K152" s="50"/>
    </x:row>
    <x:row r="153" ht="15" hidden="0" customHeight="1">
      <x:c r="A153" s="50"/>
      <x:c r="K153" s="50"/>
    </x:row>
    <x:row r="154" ht="15" hidden="0" customHeight="1">
      <x:c r="A154" s="50"/>
      <x:c r="K154" s="50"/>
    </x:row>
    <x:row r="155" ht="15" hidden="0" customHeight="1">
      <x:c r="A155" s="50"/>
      <x:c r="K155" s="50"/>
    </x:row>
    <x:row r="156" ht="15" hidden="0" customHeight="1">
      <x:c r="A156" s="50"/>
      <x:c r="K156" s="50"/>
    </x:row>
    <x:row r="157" ht="15" hidden="0" customHeight="1">
      <x:c r="A157" s="50"/>
      <x:c r="K157" s="50"/>
    </x:row>
    <x:row r="158" ht="15" hidden="0" customHeight="1">
      <x:c r="A158" s="50"/>
      <x:c r="K158" s="50"/>
    </x:row>
    <x:row r="159" ht="15" hidden="0" customHeight="1">
      <x:c r="A159" s="50"/>
      <x:c r="K159" s="50"/>
    </x:row>
    <x:row r="160" ht="15" hidden="0" customHeight="1">
      <x:c r="A160" s="50"/>
      <x:c r="K160" s="50"/>
    </x:row>
    <x:row r="161" ht="15" hidden="0" customHeight="1">
      <x:c r="A161" s="50"/>
      <x:c r="K161" s="50"/>
    </x:row>
    <x:row r="162" ht="15" hidden="0" customHeight="1">
      <x:c r="A162" s="50"/>
      <x:c r="K162" s="50"/>
    </x:row>
    <x:row r="163" ht="15" hidden="0" customHeight="1">
      <x:c r="A163" s="50"/>
      <x:c r="K163" s="50"/>
    </x:row>
    <x:row r="164" ht="15" hidden="0" customHeight="1">
      <x:c r="A164" s="50"/>
      <x:c r="K164" s="50"/>
    </x:row>
    <x:row r="165" ht="15" hidden="0" customHeight="1">
      <x:c r="A165" s="50"/>
      <x:c r="K165" s="50"/>
    </x:row>
    <x:row r="166" ht="15" hidden="0" customHeight="1">
      <x:c r="A166" s="50"/>
      <x:c r="K166" s="50"/>
    </x:row>
    <x:row r="167" ht="15" hidden="0" customHeight="1">
      <x:c r="A167" s="50"/>
      <x:c r="K167" s="50"/>
    </x:row>
    <x:row r="168" ht="15" hidden="0" customHeight="1">
      <x:c r="A168" s="50"/>
      <x:c r="K168" s="50"/>
    </x:row>
    <x:row r="169" ht="15" hidden="0" customHeight="1">
      <x:c r="A169" s="50"/>
      <x:c r="K169" s="50"/>
    </x:row>
    <x:row r="170" ht="15" hidden="0" customHeight="1">
      <x:c r="A170" s="50"/>
      <x:c r="K170" s="50"/>
    </x:row>
    <x:row r="171" ht="15" hidden="0" customHeight="1">
      <x:c r="A171" s="50"/>
      <x:c r="K171" s="50"/>
    </x:row>
    <x:row r="172" ht="15" hidden="0" customHeight="1">
      <x:c r="A172" s="50"/>
      <x:c r="K172" s="50"/>
    </x:row>
    <x:row r="173" ht="15" hidden="0" customHeight="1">
      <x:c r="A173" s="50"/>
      <x:c r="K173" s="50"/>
    </x:row>
    <x:row r="174" ht="15" hidden="0" customHeight="1">
      <x:c r="A174" s="50"/>
      <x:c r="K174" s="50"/>
    </x:row>
    <x:row r="175" ht="15" hidden="0" customHeight="1">
      <x:c r="A175" s="50"/>
      <x:c r="K175" s="50"/>
    </x:row>
    <x:row r="176" ht="15" hidden="0" customHeight="1">
      <x:c r="A176" s="50"/>
      <x:c r="K176" s="50"/>
    </x:row>
    <x:row r="177" ht="15" hidden="0" customHeight="1">
      <x:c r="A177" s="50"/>
      <x:c r="K177" s="50"/>
    </x:row>
    <x:row r="178" ht="15" hidden="0" customHeight="1">
      <x:c r="A178" s="50"/>
      <x:c r="K178" s="50"/>
    </x:row>
    <x:row r="179" ht="15" hidden="0" customHeight="1">
      <x:c r="A179" s="50"/>
      <x:c r="K179" s="50"/>
    </x:row>
    <x:row r="180" ht="15" hidden="0" customHeight="1">
      <x:c r="A180" s="50"/>
      <x:c r="K180" s="50"/>
    </x:row>
    <x:row r="181" ht="15" hidden="0" customHeight="1">
      <x:c r="A181" s="50"/>
      <x:c r="K181" s="50"/>
    </x:row>
    <x:row r="182" ht="15" hidden="0" customHeight="1">
      <x:c r="A182" s="50"/>
      <x:c r="K182" s="50"/>
    </x:row>
    <x:row r="183" ht="15" hidden="0" customHeight="1">
      <x:c r="A183" s="50"/>
      <x:c r="K183" s="50"/>
    </x:row>
    <x:row r="184" ht="15" hidden="0" customHeight="1">
      <x:c r="A184" s="50"/>
      <x:c r="K184" s="50"/>
    </x:row>
    <x:row r="185" ht="15" hidden="0" customHeight="1">
      <x:c r="A185" s="50"/>
      <x:c r="K185" s="50"/>
    </x:row>
    <x:row r="186" ht="15" hidden="0" customHeight="1">
      <x:c r="A186" s="50"/>
      <x:c r="K186" s="50"/>
    </x:row>
    <x:row r="187" ht="15" hidden="0" customHeight="1">
      <x:c r="A187" s="50"/>
      <x:c r="K187" s="50"/>
    </x:row>
    <x:row r="188" ht="15" hidden="0" customHeight="1">
      <x:c r="A188" s="50"/>
      <x:c r="K188" s="50"/>
    </x:row>
    <x:row r="189" ht="15" hidden="0" customHeight="1">
      <x:c r="A189" s="50"/>
      <x:c r="K189" s="50"/>
    </x:row>
    <x:row r="190" ht="15" hidden="0" customHeight="1">
      <x:c r="A190" s="50"/>
      <x:c r="K190" s="50"/>
    </x:row>
    <x:row r="191" ht="15" hidden="0" customHeight="1">
      <x:c r="A191" s="50"/>
      <x:c r="K191" s="50"/>
    </x:row>
    <x:row r="192" ht="15" hidden="0" customHeight="1">
      <x:c r="A192" s="50"/>
      <x:c r="K192" s="50"/>
    </x:row>
    <x:row r="193" ht="15" hidden="0" customHeight="1">
      <x:c r="A193" s="50"/>
      <x:c r="K193" s="50"/>
    </x:row>
    <x:row r="194" ht="15" hidden="0" customHeight="1">
      <x:c r="A194" s="50"/>
      <x:c r="K194" s="50"/>
    </x:row>
    <x:row r="195" ht="15" hidden="0" customHeight="1">
      <x:c r="A195" s="50"/>
      <x:c r="K195" s="50"/>
    </x:row>
    <x:row r="196" ht="15" hidden="0" customHeight="1">
      <x:c r="A196" s="50"/>
      <x:c r="K196" s="50"/>
    </x:row>
    <x:row r="197" ht="15" hidden="0" customHeight="1">
      <x:c r="A197" s="50"/>
      <x:c r="K197" s="50"/>
    </x:row>
    <x:row r="198" ht="15" hidden="0" customHeight="1">
      <x:c r="A198" s="50"/>
      <x:c r="K198" s="50"/>
    </x:row>
    <x:row r="199" ht="15" hidden="0" customHeight="1">
      <x:c r="A199" s="50"/>
      <x:c r="K199" s="50"/>
    </x:row>
    <x:row r="200" ht="15" hidden="0" customHeight="1">
      <x:c r="A200" s="50"/>
      <x:c r="K200" s="50"/>
    </x:row>
    <x:row r="201" ht="15" hidden="0" customHeight="1">
      <x:c r="A201" s="50"/>
      <x:c r="K201" s="50"/>
    </x:row>
    <x:row r="202" ht="15" hidden="0" customHeight="1">
      <x:c r="A202" s="50"/>
      <x:c r="K202" s="50"/>
    </x:row>
    <x:row r="203" ht="15" hidden="0" customHeight="1">
      <x:c r="A203" s="50"/>
      <x:c r="K203" s="50"/>
    </x:row>
    <x:row r="204" ht="15" hidden="0" customHeight="1">
      <x:c r="A204" s="50"/>
      <x:c r="K204" s="50"/>
    </x:row>
    <x:row r="205" ht="15" hidden="0" customHeight="1">
      <x:c r="A205" s="50"/>
      <x:c r="K205" s="50"/>
    </x:row>
    <x:row r="206" ht="15" hidden="0" customHeight="1">
      <x:c r="A206" s="50"/>
      <x:c r="K206" s="50"/>
    </x:row>
    <x:row r="207" ht="15" hidden="0" customHeight="1">
      <x:c r="A207" s="50"/>
      <x:c r="K207" s="50"/>
    </x:row>
    <x:row r="208" ht="15" hidden="0" customHeight="1">
      <x:c r="A208" s="50"/>
      <x:c r="K208" s="50"/>
    </x:row>
    <x:row r="209" ht="15" hidden="0" customHeight="1">
      <x:c r="A209" s="50"/>
      <x:c r="K209" s="50"/>
    </x:row>
    <x:row r="210" ht="15" hidden="0" customHeight="1">
      <x:c r="A210" s="50"/>
      <x:c r="K210" s="50"/>
    </x:row>
    <x:row r="211" ht="15" hidden="0" customHeight="1">
      <x:c r="A211" s="50"/>
      <x:c r="K211" s="50"/>
    </x:row>
    <x:row r="212" ht="15" hidden="0" customHeight="1">
      <x:c r="A212" s="50"/>
      <x:c r="K212" s="50"/>
    </x:row>
    <x:row r="213" ht="15" hidden="0" customHeight="1">
      <x:c r="A213" s="50"/>
      <x:c r="K213" s="50"/>
    </x:row>
    <x:row r="214" ht="15" hidden="0" customHeight="1">
      <x:c r="A214" s="50"/>
      <x:c r="K214" s="50"/>
    </x:row>
    <x:row r="215" ht="15" hidden="0" customHeight="1">
      <x:c r="A215" s="50"/>
      <x:c r="K215" s="50"/>
    </x:row>
    <x:row r="216" ht="15" hidden="0" customHeight="1">
      <x:c r="A216" s="50"/>
      <x:c r="K216" s="50"/>
    </x:row>
    <x:row r="217" ht="15" hidden="0" customHeight="1">
      <x:c r="A217" s="50"/>
      <x:c r="K217" s="50"/>
    </x:row>
    <x:row r="218" ht="15" hidden="0" customHeight="1">
      <x:c r="A218" s="50"/>
      <x:c r="K218" s="50"/>
    </x:row>
    <x:row r="219" ht="15" hidden="0" customHeight="1">
      <x:c r="A219" s="50"/>
      <x:c r="K219" s="50"/>
    </x:row>
    <x:row r="220" ht="15" hidden="0" customHeight="1">
      <x:c r="A220" s="50"/>
      <x:c r="K220" s="50"/>
    </x:row>
    <x:row r="221" ht="15" hidden="0" customHeight="1">
      <x:c r="A221" s="50"/>
      <x:c r="K221" s="50"/>
    </x:row>
    <x:row r="222" ht="15" hidden="0" customHeight="1">
      <x:c r="A222" s="50"/>
      <x:c r="K222" s="50"/>
    </x:row>
    <x:row r="223" ht="15" hidden="0" customHeight="1">
      <x:c r="A223" s="50"/>
      <x:c r="K223" s="50"/>
    </x:row>
    <x:row r="224" ht="15" hidden="0" customHeight="1">
      <x:c r="A224" s="50"/>
      <x:c r="K224" s="50"/>
    </x:row>
    <x:row r="225" ht="15" hidden="0" customHeight="1">
      <x:c r="A225" s="50"/>
      <x:c r="K225" s="50"/>
    </x:row>
    <x:row r="226" ht="15" hidden="0" customHeight="1">
      <x:c r="A226" s="50"/>
      <x:c r="K226" s="50"/>
    </x:row>
    <x:row r="227" ht="15" hidden="0" customHeight="1">
      <x:c r="A227" s="50"/>
      <x:c r="K227" s="50"/>
    </x:row>
    <x:row r="228" ht="15" hidden="0" customHeight="1">
      <x:c r="A228" s="50"/>
      <x:c r="K228" s="50"/>
    </x:row>
    <x:row r="229" ht="15" hidden="0" customHeight="1">
      <x:c r="A229" s="50"/>
      <x:c r="K229" s="50"/>
    </x:row>
    <x:row r="230" ht="15" hidden="0" customHeight="1">
      <x:c r="A230" s="50"/>
      <x:c r="K230" s="50"/>
    </x:row>
    <x:row r="231" ht="15" hidden="0" customHeight="1">
      <x:c r="A231" s="50"/>
      <x:c r="K231" s="50"/>
    </x:row>
    <x:row r="232" ht="15" hidden="0" customHeight="1">
      <x:c r="A232" s="50"/>
      <x:c r="K232" s="50"/>
    </x:row>
    <x:row r="233" ht="15" hidden="0" customHeight="1">
      <x:c r="A233" s="50"/>
      <x:c r="K233" s="50"/>
    </x:row>
    <x:row r="234" ht="15" hidden="0" customHeight="1">
      <x:c r="A234" s="50"/>
      <x:c r="K234" s="50"/>
    </x:row>
    <x:row r="235" ht="15" hidden="0" customHeight="1">
      <x:c r="A235" s="50"/>
      <x:c r="K235" s="50"/>
    </x:row>
    <x:row r="236" ht="15" hidden="0" customHeight="1">
      <x:c r="A236" s="50"/>
      <x:c r="K236" s="50"/>
    </x:row>
    <x:row r="237" ht="15" hidden="0" customHeight="1">
      <x:c r="A237" s="50"/>
      <x:c r="K237" s="50"/>
    </x:row>
    <x:row r="238" ht="15" hidden="0" customHeight="1">
      <x:c r="A238" s="50"/>
      <x:c r="K238" s="50"/>
    </x:row>
    <x:row r="239" ht="15" hidden="0" customHeight="1">
      <x:c r="A239" s="50"/>
      <x:c r="K239" s="50"/>
    </x:row>
    <x:row r="240" ht="15" hidden="0" customHeight="1">
      <x:c r="A240" s="50"/>
      <x:c r="K240" s="50"/>
    </x:row>
    <x:row r="241" ht="15" hidden="0" customHeight="1">
      <x:c r="A241" s="50"/>
      <x:c r="K241" s="50"/>
    </x:row>
    <x:row r="242" ht="15" hidden="0" customHeight="1">
      <x:c r="A242" s="50"/>
      <x:c r="K242" s="50"/>
    </x:row>
    <x:row r="243" ht="15" hidden="0" customHeight="1">
      <x:c r="A243" s="50"/>
      <x:c r="K243" s="50"/>
    </x:row>
    <x:row r="244" ht="15" hidden="0" customHeight="1">
      <x:c r="A244" s="50"/>
      <x:c r="K244" s="50"/>
    </x:row>
    <x:row r="245" ht="15" hidden="0" customHeight="1">
      <x:c r="A245" s="50"/>
      <x:c r="K245" s="50"/>
    </x:row>
    <x:row r="246" ht="15" hidden="0" customHeight="1">
      <x:c r="A246" s="50"/>
      <x:c r="K246" s="50"/>
    </x:row>
    <x:row r="247" ht="15" hidden="0" customHeight="1">
      <x:c r="A247" s="50"/>
      <x:c r="K247" s="50"/>
    </x:row>
    <x:row r="248" ht="15" hidden="0" customHeight="1">
      <x:c r="A248" s="50"/>
      <x:c r="K248" s="50"/>
    </x:row>
    <x:row r="249" ht="15" hidden="0" customHeight="1">
      <x:c r="A249" s="50"/>
      <x:c r="K249" s="50"/>
    </x:row>
    <x:row r="250" ht="15" hidden="0" customHeight="1">
      <x:c r="A250" s="50"/>
      <x:c r="K250" s="50"/>
    </x:row>
    <x:row r="251" ht="15" hidden="0" customHeight="1">
      <x:c r="A251" s="50"/>
      <x:c r="K251" s="50"/>
    </x:row>
    <x:row r="252" ht="15" hidden="0" customHeight="1">
      <x:c r="A252" s="50"/>
      <x:c r="K252" s="50"/>
    </x:row>
    <x:row r="253" ht="15" hidden="0" customHeight="1">
      <x:c r="A253" s="50"/>
      <x:c r="K253" s="50"/>
    </x:row>
    <x:row r="254" ht="15" hidden="0" customHeight="1">
      <x:c r="A254" s="50"/>
      <x:c r="K254" s="50"/>
    </x:row>
    <x:row r="255" ht="15" hidden="0" customHeight="1">
      <x:c r="A255" s="50"/>
      <x:c r="K255" s="50"/>
    </x:row>
    <x:row r="256" ht="15" hidden="0" customHeight="1">
      <x:c r="A256" s="50"/>
      <x:c r="K256" s="50"/>
    </x:row>
    <x:row r="257" ht="15" hidden="0" customHeight="1">
      <x:c r="A257" s="50"/>
      <x:c r="K257" s="50"/>
    </x:row>
    <x:row r="258" ht="15" hidden="0" customHeight="1">
      <x:c r="A258" s="50"/>
      <x:c r="K258" s="50"/>
    </x:row>
    <x:row r="259" ht="15" hidden="0" customHeight="1">
      <x:c r="A259" s="50"/>
      <x:c r="K259" s="50"/>
    </x:row>
    <x:row r="260" ht="15" hidden="0" customHeight="1">
      <x:c r="A260" s="50"/>
      <x:c r="K260" s="50"/>
    </x:row>
    <x:row r="261" ht="15" hidden="0" customHeight="1">
      <x:c r="A261" s="50"/>
      <x:c r="K261" s="50"/>
    </x:row>
    <x:row r="262" ht="15" hidden="0" customHeight="1">
      <x:c r="A262" s="50"/>
      <x:c r="K262" s="50"/>
    </x:row>
    <x:row r="263" ht="15" hidden="0" customHeight="1">
      <x:c r="A263" s="50"/>
      <x:c r="K263" s="50"/>
    </x:row>
    <x:row r="264" ht="15" hidden="0" customHeight="1">
      <x:c r="A264" s="50"/>
      <x:c r="K264" s="50"/>
    </x:row>
    <x:row r="265" ht="15" hidden="0" customHeight="1">
      <x:c r="A265" s="50"/>
      <x:c r="K265" s="50"/>
    </x:row>
    <x:row r="266" ht="15" hidden="0" customHeight="1">
      <x:c r="A266" s="50"/>
      <x:c r="K266" s="50"/>
    </x:row>
    <x:row r="267" ht="15" hidden="0" customHeight="1">
      <x:c r="A267" s="50"/>
      <x:c r="K267" s="50"/>
    </x:row>
    <x:row r="268" ht="15" hidden="0" customHeight="1">
      <x:c r="A268" s="50"/>
      <x:c r="K268" s="50"/>
    </x:row>
    <x:row r="269" ht="15" hidden="0" customHeight="1">
      <x:c r="A269" s="50"/>
      <x:c r="K269" s="50"/>
    </x:row>
    <x:row r="270" ht="15" hidden="0" customHeight="1">
      <x:c r="A270" s="50"/>
      <x:c r="K270" s="50"/>
    </x:row>
    <x:row r="271" ht="15" hidden="0" customHeight="1">
      <x:c r="A271" s="50"/>
      <x:c r="K271" s="50"/>
    </x:row>
    <x:row r="272" ht="15" hidden="0" customHeight="1">
      <x:c r="A272" s="50"/>
      <x:c r="K272" s="50"/>
    </x:row>
    <x:row r="273" ht="15" hidden="0" customHeight="1">
      <x:c r="A273" s="50"/>
      <x:c r="K273" s="50"/>
    </x:row>
    <x:row r="274" ht="15" hidden="0" customHeight="1">
      <x:c r="A274" s="50"/>
      <x:c r="K274" s="50"/>
    </x:row>
    <x:row r="275" ht="15" hidden="0" customHeight="1">
      <x:c r="A275" s="50"/>
      <x:c r="K275" s="50"/>
    </x:row>
    <x:row r="276" ht="15" hidden="0" customHeight="1">
      <x:c r="A276" s="50"/>
      <x:c r="K276" s="50"/>
    </x:row>
    <x:row r="277" ht="15" hidden="0" customHeight="1">
      <x:c r="A277" s="50"/>
      <x:c r="K277" s="50"/>
    </x:row>
    <x:row r="278" ht="15" hidden="0" customHeight="1">
      <x:c r="A278" s="50"/>
      <x:c r="K278" s="50"/>
    </x:row>
    <x:row r="279" ht="15" hidden="0" customHeight="1">
      <x:c r="A279" s="50"/>
      <x:c r="K279" s="50"/>
    </x:row>
    <x:row r="280" ht="15" hidden="0" customHeight="1">
      <x:c r="A280" s="50"/>
      <x:c r="K280" s="50"/>
    </x:row>
    <x:row r="281" ht="15" hidden="0" customHeight="1">
      <x:c r="A281" s="50"/>
      <x:c r="K281" s="50"/>
    </x:row>
    <x:row r="282" ht="15" hidden="0" customHeight="1">
      <x:c r="A282" s="50"/>
      <x:c r="K282" s="50"/>
    </x:row>
    <x:row r="283" ht="15" hidden="0" customHeight="1">
      <x:c r="A283" s="50"/>
      <x:c r="K283" s="50"/>
    </x:row>
    <x:row r="284" ht="15" hidden="0" customHeight="1">
      <x:c r="A284" s="50"/>
      <x:c r="K284" s="50"/>
    </x:row>
    <x:row r="285" ht="15" hidden="0" customHeight="1">
      <x:c r="A285" s="50"/>
      <x:c r="K285" s="50"/>
    </x:row>
    <x:row r="286" ht="15" hidden="0" customHeight="1">
      <x:c r="A286" s="50"/>
      <x:c r="K286" s="50"/>
    </x:row>
    <x:row r="287" ht="15" hidden="0" customHeight="1">
      <x:c r="A287" s="50"/>
      <x:c r="K287" s="50"/>
    </x:row>
    <x:row r="288" ht="15" hidden="0" customHeight="1">
      <x:c r="A288" s="50"/>
      <x:c r="K288" s="50"/>
    </x:row>
    <x:row r="289" ht="15" hidden="0" customHeight="1">
      <x:c r="A289" s="50"/>
      <x:c r="K289" s="50"/>
    </x:row>
    <x:row r="290" ht="15" hidden="0" customHeight="1">
      <x:c r="A290" s="50"/>
      <x:c r="K290" s="50"/>
    </x:row>
    <x:row r="291" ht="15" hidden="0" customHeight="1">
      <x:c r="A291" s="50"/>
      <x:c r="K291" s="50"/>
    </x:row>
    <x:row r="292" ht="15" hidden="0" customHeight="1">
      <x:c r="A292" s="50"/>
      <x:c r="K292" s="50"/>
    </x:row>
    <x:row r="293" ht="15" hidden="0" customHeight="1">
      <x:c r="A293" s="50"/>
      <x:c r="K293" s="50"/>
    </x:row>
    <x:row r="294" ht="15" hidden="0" customHeight="1">
      <x:c r="A294" s="50"/>
      <x:c r="K294" s="50"/>
    </x:row>
    <x:row r="295" ht="15" hidden="0" customHeight="1">
      <x:c r="A295" s="50"/>
      <x:c r="K295" s="50"/>
    </x:row>
    <x:row r="296" ht="15" hidden="0" customHeight="1">
      <x:c r="A296" s="50"/>
      <x:c r="K296" s="50"/>
    </x:row>
    <x:row r="297" ht="15" hidden="0" customHeight="1">
      <x:c r="A297" s="50"/>
      <x:c r="K297" s="50"/>
    </x:row>
    <x:row r="298" ht="15" hidden="0" customHeight="1">
      <x:c r="A298" s="50"/>
      <x:c r="K298" s="50"/>
    </x:row>
    <x:row r="299" ht="15" hidden="0" customHeight="1">
      <x:c r="A299" s="50"/>
      <x:c r="K299" s="50"/>
    </x:row>
    <x:row r="300" ht="15" hidden="0" customHeight="1">
      <x:c r="A300" s="50"/>
      <x:c r="K300" s="50"/>
    </x:row>
    <x:row r="301" ht="15" hidden="0" customHeight="1">
      <x:c r="A301" s="50"/>
      <x:c r="K301" s="50"/>
    </x:row>
    <x:row r="302" ht="15" hidden="0" customHeight="1">
      <x:c r="A302" s="50"/>
      <x:c r="K302" s="50"/>
    </x:row>
    <x:row r="303" ht="15" hidden="0" customHeight="1">
      <x:c r="A303" s="50"/>
      <x:c r="K303" s="50"/>
    </x:row>
    <x:row r="304" ht="15" hidden="0" customHeight="1">
      <x:c r="A304" s="50"/>
      <x:c r="K304" s="50"/>
    </x:row>
    <x:row r="305" ht="15" hidden="0" customHeight="1">
      <x:c r="A305" s="50"/>
      <x:c r="K305" s="50"/>
    </x:row>
    <x:row r="306" ht="15" hidden="0" customHeight="1">
      <x:c r="A306" s="50"/>
      <x:c r="K306" s="50"/>
    </x:row>
    <x:row r="307" ht="15" hidden="0" customHeight="1">
      <x:c r="A307" s="50"/>
      <x:c r="K307" s="50"/>
    </x:row>
    <x:row r="308" ht="15" hidden="0" customHeight="1">
      <x:c r="A308" s="50"/>
      <x:c r="K308" s="50"/>
    </x:row>
    <x:row r="309" ht="15" hidden="0" customHeight="1">
      <x:c r="A309" s="50"/>
      <x:c r="K309" s="50"/>
    </x:row>
    <x:row r="310" ht="15" hidden="0" customHeight="1">
      <x:c r="A310" s="50"/>
      <x:c r="K310" s="50"/>
    </x:row>
    <x:row r="311" ht="15" hidden="0" customHeight="1">
      <x:c r="A311" s="50"/>
      <x:c r="K311" s="50"/>
    </x:row>
    <x:row r="312" ht="15" hidden="0" customHeight="1">
      <x:c r="A312" s="50"/>
      <x:c r="K312" s="50"/>
    </x:row>
    <x:row r="313" ht="15" hidden="0" customHeight="1">
      <x:c r="A313" s="50"/>
      <x:c r="K313" s="50"/>
    </x:row>
    <x:row r="314" ht="15" hidden="0" customHeight="1">
      <x:c r="A314" s="50"/>
      <x:c r="K314" s="50"/>
    </x:row>
    <x:row r="315" ht="15" hidden="0" customHeight="1">
      <x:c r="A315" s="50"/>
      <x:c r="K315" s="50"/>
    </x:row>
    <x:row r="316" ht="15" hidden="0" customHeight="1">
      <x:c r="A316" s="50"/>
      <x:c r="K316" s="50"/>
    </x:row>
    <x:row r="317" ht="15" hidden="0" customHeight="1">
      <x:c r="A317" s="50"/>
      <x:c r="K317" s="50"/>
    </x:row>
    <x:row r="318" ht="15" hidden="0" customHeight="1">
      <x:c r="A318" s="50"/>
      <x:c r="K318" s="50"/>
    </x:row>
    <x:row r="319" ht="15" hidden="0" customHeight="1">
      <x:c r="A319" s="50"/>
      <x:c r="K319" s="50"/>
    </x:row>
    <x:row r="320" ht="15" hidden="0" customHeight="1">
      <x:c r="A320" s="50"/>
      <x:c r="K320" s="50"/>
    </x:row>
    <x:row r="321" ht="15" hidden="0" customHeight="1">
      <x:c r="A321" s="50"/>
      <x:c r="K321" s="50"/>
    </x:row>
    <x:row r="322" ht="15" hidden="0" customHeight="1">
      <x:c r="A322" s="50"/>
      <x:c r="K322" s="50"/>
    </x:row>
    <x:row r="323" ht="15" hidden="0" customHeight="1">
      <x:c r="A323" s="50"/>
      <x:c r="K323" s="50"/>
    </x:row>
    <x:row r="324" ht="15" hidden="0" customHeight="1">
      <x:c r="A324" s="50"/>
      <x:c r="K324" s="50"/>
    </x:row>
    <x:row r="325" ht="15" hidden="0" customHeight="1">
      <x:c r="A325" s="50"/>
      <x:c r="K325" s="50"/>
    </x:row>
    <x:row r="326" ht="15" hidden="0" customHeight="1">
      <x:c r="A326" s="50"/>
      <x:c r="K326" s="50"/>
    </x:row>
    <x:row r="327" ht="15" hidden="0" customHeight="1">
      <x:c r="A327" s="50"/>
      <x:c r="K327" s="50"/>
    </x:row>
    <x:row r="328" ht="15" hidden="0" customHeight="1">
      <x:c r="A328" s="50"/>
      <x:c r="K328" s="50"/>
    </x:row>
    <x:row r="329" ht="15" hidden="0" customHeight="1">
      <x:c r="A329" s="50"/>
      <x:c r="K329" s="50"/>
    </x:row>
    <x:row r="330" ht="15" hidden="0" customHeight="1">
      <x:c r="A330" s="50"/>
      <x:c r="K330" s="50"/>
    </x:row>
    <x:row r="331" ht="15" hidden="0" customHeight="1">
      <x:c r="A331" s="50"/>
      <x:c r="K331" s="50"/>
    </x:row>
    <x:row r="332" ht="15" hidden="0" customHeight="1">
      <x:c r="A332" s="50"/>
      <x:c r="K332" s="50"/>
    </x:row>
    <x:row r="333" ht="15" hidden="0" customHeight="1">
      <x:c r="A333" s="50"/>
      <x:c r="K333" s="50"/>
    </x:row>
    <x:row r="334" ht="15" hidden="0" customHeight="1">
      <x:c r="A334" s="50"/>
      <x:c r="K334" s="50"/>
    </x:row>
    <x:row r="335" ht="15" hidden="0" customHeight="1">
      <x:c r="A335" s="50"/>
      <x:c r="K335" s="50"/>
    </x:row>
    <x:row r="336" ht="15" hidden="0" customHeight="1">
      <x:c r="A336" s="50"/>
      <x:c r="K336" s="50"/>
    </x:row>
    <x:row r="337" ht="15" hidden="0" customHeight="1">
      <x:c r="A337" s="50"/>
      <x:c r="K337" s="50"/>
    </x:row>
    <x:row r="338" ht="15" hidden="0" customHeight="1">
      <x:c r="A338" s="50"/>
      <x:c r="K338" s="50"/>
    </x:row>
    <x:row r="339" ht="15" hidden="0" customHeight="1">
      <x:c r="A339" s="50"/>
      <x:c r="K339" s="50"/>
    </x:row>
    <x:row r="340" ht="15" hidden="0" customHeight="1">
      <x:c r="A340" s="50"/>
      <x:c r="K340" s="50"/>
    </x:row>
    <x:row r="341" ht="15" hidden="0" customHeight="1">
      <x:c r="A341" s="50"/>
      <x:c r="K341" s="50"/>
    </x:row>
    <x:row r="342" ht="15" hidden="0" customHeight="1">
      <x:c r="A342" s="50"/>
      <x:c r="K342" s="50"/>
    </x:row>
    <x:row r="343" ht="15" hidden="0" customHeight="1">
      <x:c r="A343" s="50"/>
      <x:c r="K343" s="50"/>
    </x:row>
    <x:row r="344" ht="15" hidden="0" customHeight="1">
      <x:c r="A344" s="50"/>
      <x:c r="K344" s="50"/>
    </x:row>
    <x:row r="345" ht="15" hidden="0" customHeight="1">
      <x:c r="A345" s="50"/>
      <x:c r="K345" s="50"/>
    </x:row>
    <x:row r="346" ht="15" hidden="0" customHeight="1">
      <x:c r="A346" s="50"/>
      <x:c r="K346" s="50"/>
    </x:row>
    <x:row r="347" ht="15" hidden="0" customHeight="1">
      <x:c r="A347" s="50"/>
      <x:c r="K347" s="50"/>
    </x:row>
    <x:row r="348" ht="15" hidden="0" customHeight="1">
      <x:c r="A348" s="50"/>
      <x:c r="K348" s="50"/>
    </x:row>
    <x:row r="349" ht="15" hidden="0" customHeight="1">
      <x:c r="A349" s="50"/>
      <x:c r="K349" s="50"/>
    </x:row>
    <x:row r="350" ht="15" hidden="0" customHeight="1">
      <x:c r="A350" s="50"/>
      <x:c r="K350" s="50"/>
    </x:row>
    <x:row r="351" ht="15" hidden="0" customHeight="1">
      <x:c r="A351" s="50"/>
      <x:c r="K351" s="50"/>
    </x:row>
    <x:row r="352" ht="15" hidden="0" customHeight="1">
      <x:c r="A352" s="50"/>
      <x:c r="K352" s="50"/>
    </x:row>
    <x:row r="353" ht="15" hidden="0" customHeight="1">
      <x:c r="A353" s="50"/>
      <x:c r="K353" s="50"/>
    </x:row>
    <x:row r="354" ht="15" hidden="0" customHeight="1">
      <x:c r="A354" s="50"/>
      <x:c r="K354" s="50"/>
    </x:row>
    <x:row r="355" ht="15" hidden="0" customHeight="1">
      <x:c r="A355" s="50"/>
      <x:c r="K355" s="50"/>
    </x:row>
    <x:row r="356" ht="15" hidden="0" customHeight="1">
      <x:c r="A356" s="50"/>
      <x:c r="K356" s="50"/>
    </x:row>
    <x:row r="357" ht="15" hidden="0" customHeight="1">
      <x:c r="A357" s="50"/>
      <x:c r="K357" s="50"/>
    </x:row>
    <x:row r="358" ht="15" hidden="0" customHeight="1">
      <x:c r="A358" s="50"/>
      <x:c r="K358" s="50"/>
    </x:row>
    <x:row r="359" ht="15" hidden="0" customHeight="1">
      <x:c r="A359" s="50"/>
      <x:c r="K359" s="50"/>
    </x:row>
    <x:row r="360" ht="15" hidden="0" customHeight="1">
      <x:c r="A360" s="50"/>
      <x:c r="K360" s="50"/>
    </x:row>
    <x:row r="361" ht="15" hidden="0" customHeight="1">
      <x:c r="A361" s="50"/>
      <x:c r="K361" s="50"/>
    </x:row>
    <x:row r="362" ht="15" hidden="0" customHeight="1">
      <x:c r="A362" s="50"/>
      <x:c r="K362" s="50"/>
    </x:row>
    <x:row r="363" ht="15" hidden="0" customHeight="1">
      <x:c r="A363" s="50"/>
      <x:c r="K363" s="50"/>
    </x:row>
    <x:row r="364" ht="15" hidden="0" customHeight="1">
      <x:c r="A364" s="50"/>
      <x:c r="K364" s="50"/>
    </x:row>
    <x:row r="365" ht="15" hidden="0" customHeight="1">
      <x:c r="A365" s="50"/>
      <x:c r="K365" s="50"/>
    </x:row>
    <x:row r="366" ht="15" hidden="0" customHeight="1">
      <x:c r="A366" s="50"/>
      <x:c r="K366" s="50"/>
    </x:row>
    <x:row r="367" ht="15" hidden="0" customHeight="1">
      <x:c r="A367" s="50"/>
      <x:c r="K367" s="50"/>
    </x:row>
    <x:row r="368" ht="15" hidden="0" customHeight="1">
      <x:c r="A368" s="50"/>
      <x:c r="K368" s="50"/>
    </x:row>
    <x:row r="369" ht="15" hidden="0" customHeight="1">
      <x:c r="A369" s="50"/>
      <x:c r="K369" s="50"/>
    </x:row>
    <x:row r="370" ht="15" hidden="0" customHeight="1">
      <x:c r="A370" s="50"/>
      <x:c r="K370" s="50"/>
    </x:row>
    <x:row r="371" ht="15" hidden="0" customHeight="1">
      <x:c r="A371" s="50"/>
      <x:c r="K371" s="50"/>
    </x:row>
    <x:row r="372" ht="15" hidden="0" customHeight="1">
      <x:c r="A372" s="50"/>
      <x:c r="K372" s="50"/>
    </x:row>
    <x:row r="373" ht="15" hidden="0" customHeight="1">
      <x:c r="A373" s="50"/>
      <x:c r="K373" s="50"/>
    </x:row>
    <x:row r="374" ht="15" hidden="0" customHeight="1">
      <x:c r="A374" s="50"/>
      <x:c r="K374" s="50"/>
    </x:row>
    <x:row r="375" ht="15" hidden="0" customHeight="1">
      <x:c r="A375" s="50"/>
      <x:c r="K375" s="50"/>
    </x:row>
    <x:row r="376" ht="15" hidden="0" customHeight="1">
      <x:c r="A376" s="50"/>
      <x:c r="K376" s="50"/>
    </x:row>
    <x:row r="377" ht="15" hidden="0" customHeight="1">
      <x:c r="A377" s="50"/>
      <x:c r="K377" s="50"/>
    </x:row>
    <x:row r="378" ht="15" hidden="0" customHeight="1">
      <x:c r="A378" s="50"/>
      <x:c r="K378" s="50"/>
    </x:row>
    <x:row r="379" ht="15" hidden="0" customHeight="1">
      <x:c r="A379" s="50"/>
      <x:c r="K379" s="50"/>
    </x:row>
    <x:row r="380" ht="15" hidden="0" customHeight="1">
      <x:c r="A380" s="50"/>
      <x:c r="K380" s="50"/>
    </x:row>
    <x:row r="381" ht="15" hidden="0" customHeight="1">
      <x:c r="A381" s="50"/>
      <x:c r="K381" s="50"/>
    </x:row>
    <x:row r="382" ht="15" hidden="0" customHeight="1">
      <x:c r="A382" s="50"/>
      <x:c r="K382" s="50"/>
    </x:row>
    <x:row r="383" ht="15" hidden="0" customHeight="1">
      <x:c r="A383" s="50"/>
      <x:c r="K383" s="50"/>
    </x:row>
    <x:row r="384" ht="15" hidden="0" customHeight="1">
      <x:c r="A384" s="50"/>
      <x:c r="K384" s="50"/>
    </x:row>
    <x:row r="385" ht="15" hidden="0" customHeight="1">
      <x:c r="A385" s="50"/>
      <x:c r="K385" s="50"/>
    </x:row>
    <x:row r="386" ht="15" hidden="0" customHeight="1">
      <x:c r="A386" s="50"/>
      <x:c r="K386" s="50"/>
    </x:row>
    <x:row r="387" ht="15" hidden="0" customHeight="1">
      <x:c r="A387" s="50"/>
      <x:c r="K387" s="50"/>
    </x:row>
    <x:row r="388" ht="15" hidden="0" customHeight="1">
      <x:c r="A388" s="50"/>
      <x:c r="K388" s="50"/>
    </x:row>
    <x:row r="389" ht="15" hidden="0" customHeight="1">
      <x:c r="A389" s="50"/>
      <x:c r="K389" s="50"/>
    </x:row>
    <x:row r="390" ht="15" hidden="0" customHeight="1">
      <x:c r="A390" s="50"/>
      <x:c r="K390" s="50"/>
    </x:row>
    <x:row r="391" ht="15" hidden="0" customHeight="1">
      <x:c r="A391" s="50"/>
      <x:c r="K391" s="50"/>
    </x:row>
    <x:row r="392" ht="15" hidden="0" customHeight="1">
      <x:c r="A392" s="50"/>
      <x:c r="K392" s="50"/>
    </x:row>
    <x:row r="393" ht="15" hidden="0" customHeight="1">
      <x:c r="A393" s="50"/>
      <x:c r="K393" s="50"/>
    </x:row>
    <x:row r="394" ht="15" hidden="0" customHeight="1">
      <x:c r="A394" s="50"/>
      <x:c r="K394" s="50"/>
    </x:row>
    <x:row r="395" ht="15" hidden="0" customHeight="1">
      <x:c r="A395" s="50"/>
      <x:c r="K395" s="50"/>
    </x:row>
    <x:row r="396" ht="15" hidden="0" customHeight="1">
      <x:c r="A396" s="50"/>
      <x:c r="K396" s="50"/>
    </x:row>
    <x:row r="397" ht="15" hidden="0" customHeight="1">
      <x:c r="A397" s="50"/>
      <x:c r="K397" s="50"/>
    </x:row>
    <x:row r="398" ht="15" hidden="0" customHeight="1">
      <x:c r="A398" s="50"/>
      <x:c r="K398" s="50"/>
    </x:row>
    <x:row r="399" ht="15" hidden="0" customHeight="1">
      <x:c r="A399" s="50"/>
      <x:c r="K399" s="50"/>
    </x:row>
    <x:row r="400" ht="15" hidden="0" customHeight="1">
      <x:c r="A400" s="50"/>
      <x:c r="K400" s="50"/>
    </x:row>
    <x:row r="401" ht="15" hidden="0" customHeight="1">
      <x:c r="A401" s="50"/>
      <x:c r="K401" s="50"/>
    </x:row>
    <x:row r="402" ht="15" hidden="0" customHeight="1">
      <x:c r="A402" s="50"/>
      <x:c r="K402" s="50"/>
    </x:row>
    <x:row r="403" ht="15" hidden="0" customHeight="1">
      <x:c r="A403" s="50"/>
      <x:c r="K403" s="50"/>
    </x:row>
    <x:row r="404" ht="15" hidden="0" customHeight="1">
      <x:c r="A404" s="50"/>
      <x:c r="K404" s="50"/>
    </x:row>
    <x:row r="405" ht="15" hidden="0" customHeight="1">
      <x:c r="A405" s="50"/>
      <x:c r="K405" s="50"/>
    </x:row>
    <x:row r="406" ht="15" hidden="0" customHeight="1">
      <x:c r="A406" s="50"/>
      <x:c r="K406" s="50"/>
    </x:row>
    <x:row r="407" ht="15" hidden="0" customHeight="1">
      <x:c r="A407" s="50"/>
      <x:c r="K407" s="50"/>
    </x:row>
    <x:row r="408" ht="15" hidden="0" customHeight="1">
      <x:c r="A408" s="50"/>
      <x:c r="K408" s="50"/>
    </x:row>
    <x:row r="409" ht="15" hidden="0" customHeight="1">
      <x:c r="A409" s="50"/>
      <x:c r="K409" s="50"/>
    </x:row>
    <x:row r="410" ht="15" hidden="0" customHeight="1">
      <x:c r="A410" s="50"/>
      <x:c r="K410" s="50"/>
    </x:row>
    <x:row r="411" ht="15" hidden="0" customHeight="1">
      <x:c r="A411" s="50"/>
      <x:c r="K411" s="50"/>
    </x:row>
    <x:row r="412" ht="15" hidden="0" customHeight="1">
      <x:c r="A412" s="50"/>
      <x:c r="K412" s="50"/>
    </x:row>
    <x:row r="413" ht="15" hidden="0" customHeight="1">
      <x:c r="A413" s="50"/>
      <x:c r="K413" s="50"/>
    </x:row>
    <x:row r="414" ht="15" hidden="0" customHeight="1">
      <x:c r="A414" s="50"/>
      <x:c r="K414" s="50"/>
    </x:row>
    <x:row r="415" ht="15" hidden="0" customHeight="1">
      <x:c r="A415" s="50"/>
      <x:c r="K415" s="50"/>
    </x:row>
    <x:row r="416" ht="15" hidden="0" customHeight="1">
      <x:c r="A416" s="50"/>
      <x:c r="K416" s="50"/>
    </x:row>
    <x:row r="417" ht="15" hidden="0" customHeight="1">
      <x:c r="A417" s="50"/>
      <x:c r="K417" s="50"/>
    </x:row>
    <x:row r="418" ht="15" hidden="0" customHeight="1">
      <x:c r="A418" s="50"/>
      <x:c r="K418" s="50"/>
    </x:row>
    <x:row r="419" ht="15" hidden="0" customHeight="1">
      <x:c r="A419" s="50"/>
      <x:c r="K419" s="50"/>
    </x:row>
    <x:row r="420" ht="15" hidden="0" customHeight="1">
      <x:c r="A420" s="50"/>
      <x:c r="K420" s="50"/>
    </x:row>
    <x:row r="421" ht="15" hidden="0" customHeight="1">
      <x:c r="A421" s="50"/>
      <x:c r="K421" s="50"/>
    </x:row>
    <x:row r="422" ht="15" hidden="0" customHeight="1">
      <x:c r="A422" s="50"/>
      <x:c r="K422" s="50"/>
    </x:row>
    <x:row r="423" ht="15" hidden="0" customHeight="1">
      <x:c r="A423" s="50"/>
      <x:c r="K423" s="50"/>
    </x:row>
    <x:row r="424" ht="15" hidden="0" customHeight="1">
      <x:c r="A424" s="50"/>
      <x:c r="K424" s="50"/>
    </x:row>
    <x:row r="425" ht="15" hidden="0" customHeight="1">
      <x:c r="A425" s="50"/>
      <x:c r="K425" s="50"/>
    </x:row>
    <x:row r="426" ht="15" hidden="0" customHeight="1">
      <x:c r="A426" s="50"/>
      <x:c r="K426" s="50"/>
    </x:row>
    <x:row r="427" ht="15" hidden="0" customHeight="1">
      <x:c r="A427" s="50"/>
      <x:c r="K427" s="50"/>
    </x:row>
    <x:row r="428" ht="15" hidden="0" customHeight="1">
      <x:c r="A428" s="50"/>
      <x:c r="K428" s="50"/>
    </x:row>
    <x:row r="429" ht="15" hidden="0" customHeight="1">
      <x:c r="A429" s="50"/>
      <x:c r="K429" s="50"/>
    </x:row>
    <x:row r="430" ht="15" hidden="0" customHeight="1">
      <x:c r="A430" s="50"/>
      <x:c r="K430" s="50"/>
    </x:row>
    <x:row r="431" ht="15" hidden="0" customHeight="1">
      <x:c r="A431" s="50"/>
      <x:c r="K431" s="50"/>
    </x:row>
    <x:row r="432" ht="15" hidden="0" customHeight="1">
      <x:c r="A432" s="50"/>
      <x:c r="K432" s="50"/>
    </x:row>
    <x:row r="433" ht="15" hidden="0" customHeight="1">
      <x:c r="A433" s="50"/>
      <x:c r="K433" s="50"/>
    </x:row>
    <x:row r="434" ht="15" hidden="0" customHeight="1">
      <x:c r="A434" s="50"/>
      <x:c r="K434" s="50"/>
    </x:row>
    <x:row r="435" ht="15" hidden="0" customHeight="1">
      <x:c r="A435" s="50"/>
      <x:c r="K435" s="50"/>
    </x:row>
    <x:row r="436" ht="15" hidden="0" customHeight="1">
      <x:c r="A436" s="50"/>
      <x:c r="K436" s="50"/>
    </x:row>
    <x:row r="437" ht="15" hidden="0" customHeight="1">
      <x:c r="A437" s="50"/>
      <x:c r="K437" s="50"/>
    </x:row>
    <x:row r="438" ht="15" hidden="0" customHeight="1">
      <x:c r="A438" s="50"/>
      <x:c r="K438" s="50"/>
    </x:row>
    <x:row r="439" ht="15" hidden="0" customHeight="1">
      <x:c r="A439" s="50"/>
      <x:c r="K439" s="50"/>
    </x:row>
    <x:row r="440" ht="15" hidden="0" customHeight="1">
      <x:c r="A440" s="50"/>
      <x:c r="K440" s="50"/>
    </x:row>
    <x:row r="441" ht="15" hidden="0" customHeight="1">
      <x:c r="A441" s="50"/>
      <x:c r="K441" s="50"/>
    </x:row>
    <x:row r="442" ht="15" hidden="0" customHeight="1">
      <x:c r="A442" s="50"/>
      <x:c r="K442" s="50"/>
    </x:row>
    <x:row r="443" ht="15" hidden="0" customHeight="1">
      <x:c r="A443" s="50"/>
      <x:c r="K443" s="50"/>
    </x:row>
    <x:row r="444" ht="15" hidden="0" customHeight="1">
      <x:c r="A444" s="50"/>
      <x:c r="K444" s="50"/>
    </x:row>
    <x:row r="445" ht="15" hidden="0" customHeight="1">
      <x:c r="A445" s="50"/>
      <x:c r="K445" s="50"/>
    </x:row>
    <x:row r="446" ht="15" hidden="0" customHeight="1">
      <x:c r="A446" s="50"/>
      <x:c r="K446" s="50"/>
    </x:row>
    <x:row r="447" ht="15" hidden="0" customHeight="1">
      <x:c r="A447" s="50"/>
      <x:c r="K447" s="50"/>
    </x:row>
    <x:row r="448" ht="15" hidden="0" customHeight="1">
      <x:c r="A448" s="50"/>
      <x:c r="K448" s="50"/>
    </x:row>
    <x:row r="449" ht="15" hidden="0" customHeight="1">
      <x:c r="A449" s="50"/>
      <x:c r="K449" s="50"/>
    </x:row>
    <x:row r="450" ht="15" hidden="0" customHeight="1">
      <x:c r="A450" s="50"/>
      <x:c r="K450" s="50"/>
    </x:row>
    <x:row r="451" ht="15" hidden="0" customHeight="1">
      <x:c r="A451" s="50"/>
      <x:c r="K451" s="50"/>
    </x:row>
    <x:row r="452" ht="15" hidden="0" customHeight="1">
      <x:c r="A452" s="50"/>
      <x:c r="K452" s="50"/>
    </x:row>
    <x:row r="453" ht="15" hidden="0" customHeight="1">
      <x:c r="A453" s="50"/>
      <x:c r="K453" s="50"/>
    </x:row>
    <x:row r="454" ht="15" hidden="0" customHeight="1">
      <x:c r="A454" s="50"/>
      <x:c r="K454" s="50"/>
    </x:row>
    <x:row r="455" ht="15" hidden="0" customHeight="1">
      <x:c r="A455" s="50"/>
      <x:c r="K455" s="50"/>
    </x:row>
    <x:row r="456" ht="15" hidden="0" customHeight="1">
      <x:c r="A456" s="50"/>
      <x:c r="K456" s="50"/>
    </x:row>
    <x:row r="457" ht="15" hidden="0" customHeight="1">
      <x:c r="A457" s="50"/>
      <x:c r="K457" s="50"/>
    </x:row>
    <x:row r="458" ht="15" hidden="0" customHeight="1">
      <x:c r="A458" s="50"/>
      <x:c r="K458" s="50"/>
    </x:row>
    <x:row r="459" ht="15" hidden="0" customHeight="1">
      <x:c r="A459" s="50"/>
      <x:c r="K459" s="50"/>
    </x:row>
    <x:row r="460" ht="15" hidden="0" customHeight="1">
      <x:c r="A460" s="50"/>
      <x:c r="K460" s="50"/>
    </x:row>
    <x:row r="461" ht="15" hidden="0" customHeight="1">
      <x:c r="A461" s="50"/>
      <x:c r="K461" s="50"/>
    </x:row>
    <x:row r="462" ht="15" hidden="0" customHeight="1">
      <x:c r="A462" s="50"/>
      <x:c r="K462" s="50"/>
    </x:row>
    <x:row r="463" ht="15" hidden="0" customHeight="1">
      <x:c r="A463" s="50"/>
      <x:c r="K463" s="50"/>
    </x:row>
    <x:row r="464" ht="15" hidden="0" customHeight="1">
      <x:c r="A464" s="50"/>
      <x:c r="K464" s="50"/>
    </x:row>
    <x:row r="465" ht="15" hidden="0" customHeight="1">
      <x:c r="A465" s="50"/>
      <x:c r="K465" s="50"/>
    </x:row>
    <x:row r="466" ht="15" hidden="0" customHeight="1">
      <x:c r="A466" s="50"/>
      <x:c r="K466" s="50"/>
    </x:row>
    <x:row r="467" ht="15" hidden="0" customHeight="1">
      <x:c r="A467" s="50"/>
      <x:c r="K467" s="50"/>
    </x:row>
    <x:row r="468" ht="15" hidden="0" customHeight="1">
      <x:c r="A468" s="50"/>
      <x:c r="K468" s="50"/>
    </x:row>
    <x:row r="469" ht="15" hidden="0" customHeight="1">
      <x:c r="A469" s="50"/>
      <x:c r="K469" s="50"/>
    </x:row>
    <x:row r="470" ht="15" hidden="0" customHeight="1">
      <x:c r="A470" s="50"/>
      <x:c r="K470" s="50"/>
    </x:row>
    <x:row r="471" ht="15" hidden="0" customHeight="1">
      <x:c r="A471" s="50"/>
      <x:c r="K471" s="50"/>
    </x:row>
    <x:row r="472" ht="15" hidden="0" customHeight="1">
      <x:c r="A472" s="50"/>
      <x:c r="K472" s="50"/>
    </x:row>
    <x:row r="473" ht="15" hidden="0" customHeight="1">
      <x:c r="A473" s="50"/>
      <x:c r="K473" s="50"/>
    </x:row>
    <x:row r="474" ht="15" hidden="0" customHeight="1">
      <x:c r="A474" s="50"/>
      <x:c r="K474" s="50"/>
    </x:row>
    <x:row r="475" ht="15" hidden="0" customHeight="1">
      <x:c r="A475" s="50"/>
      <x:c r="K475" s="50"/>
    </x:row>
    <x:row r="476" ht="15" hidden="0" customHeight="1">
      <x:c r="A476" s="50"/>
      <x:c r="K476" s="50"/>
    </x:row>
    <x:row r="477" ht="15" hidden="0" customHeight="1">
      <x:c r="A477" s="50"/>
      <x:c r="K477" s="50"/>
    </x:row>
    <x:row r="478" ht="15" hidden="0" customHeight="1">
      <x:c r="A478" s="50"/>
      <x:c r="K478" s="50"/>
    </x:row>
    <x:row r="479" ht="15" hidden="0" customHeight="1">
      <x:c r="A479" s="50"/>
      <x:c r="K479" s="50"/>
    </x:row>
    <x:row r="480" ht="15" hidden="0" customHeight="1">
      <x:c r="A480" s="50"/>
      <x:c r="K480" s="50"/>
    </x:row>
    <x:row r="481" ht="15" hidden="0" customHeight="1">
      <x:c r="A481" s="50"/>
      <x:c r="K481" s="50"/>
    </x:row>
    <x:row r="482" ht="15" hidden="0" customHeight="1">
      <x:c r="A482" s="50"/>
      <x:c r="K482" s="50"/>
    </x:row>
    <x:row r="483" ht="15" hidden="0" customHeight="1">
      <x:c r="A483" s="50"/>
      <x:c r="K483" s="50"/>
    </x:row>
    <x:row r="484" ht="15" hidden="0" customHeight="1">
      <x:c r="A484" s="50"/>
      <x:c r="K484" s="50"/>
    </x:row>
    <x:row r="485" ht="15" hidden="0" customHeight="1">
      <x:c r="A485" s="50"/>
      <x:c r="K485" s="50"/>
    </x:row>
    <x:row r="486" ht="15" hidden="0" customHeight="1">
      <x:c r="A486" s="50"/>
      <x:c r="K486" s="50"/>
    </x:row>
    <x:row r="487" ht="15" hidden="0" customHeight="1">
      <x:c r="A487" s="50"/>
      <x:c r="K487" s="50"/>
    </x:row>
    <x:row r="488" ht="15" hidden="0" customHeight="1">
      <x:c r="A488" s="50"/>
      <x:c r="K488" s="50"/>
    </x:row>
    <x:row r="489" ht="15" hidden="0" customHeight="1">
      <x:c r="A489" s="50"/>
      <x:c r="K489" s="50"/>
    </x:row>
    <x:row r="490" ht="15" hidden="0" customHeight="1">
      <x:c r="A490" s="50"/>
      <x:c r="K490" s="50"/>
    </x:row>
    <x:row r="491" ht="15" hidden="0" customHeight="1">
      <x:c r="A491" s="50"/>
      <x:c r="K491" s="50"/>
    </x:row>
    <x:row r="492" ht="15" hidden="0" customHeight="1">
      <x:c r="A492" s="50"/>
      <x:c r="K492" s="50"/>
    </x:row>
    <x:row r="493" ht="15" hidden="0" customHeight="1">
      <x:c r="A493" s="50"/>
      <x:c r="K493" s="50"/>
    </x:row>
    <x:row r="494" ht="15" hidden="0" customHeight="1">
      <x:c r="A494" s="50"/>
      <x:c r="K494" s="50"/>
    </x:row>
    <x:row r="495" ht="15" hidden="0" customHeight="1">
      <x:c r="A495" s="50"/>
      <x:c r="K495" s="50"/>
    </x:row>
    <x:row r="496" ht="15" hidden="0" customHeight="1">
      <x:c r="A496" s="50"/>
      <x:c r="K496" s="50"/>
    </x:row>
    <x:row r="497" ht="15" hidden="0" customHeight="1">
      <x:c r="A497" s="50"/>
      <x:c r="K497" s="50"/>
    </x:row>
    <x:row r="498" ht="15" hidden="0" customHeight="1">
      <x:c r="A498" s="50"/>
      <x:c r="K498" s="50"/>
    </x:row>
    <x:row r="499" ht="15" hidden="0" customHeight="1">
      <x:c r="A499" s="50"/>
      <x:c r="K499" s="50"/>
    </x:row>
    <x:row r="500" ht="15" hidden="0" customHeight="1">
      <x:c r="A500" s="50"/>
      <x:c r="K500" s="50"/>
    </x:row>
    <x:row r="501" ht="15" hidden="0" customHeight="1">
      <x:c r="A501" s="50"/>
      <x:c r="K501" s="50"/>
    </x:row>
    <x:row r="502" ht="15" hidden="0" customHeight="1">
      <x:c r="A502" s="50"/>
      <x:c r="K502" s="50"/>
    </x:row>
    <x:row r="503" ht="15" hidden="0" customHeight="1">
      <x:c r="A503" s="50"/>
      <x:c r="K503" s="50"/>
    </x:row>
    <x:row r="504" ht="15" hidden="0" customHeight="1">
      <x:c r="A504" s="50"/>
      <x:c r="K504" s="50"/>
    </x:row>
    <x:row r="505" ht="15" hidden="0" customHeight="1">
      <x:c r="A505" s="50"/>
      <x:c r="K505" s="50"/>
    </x:row>
    <x:row r="506" ht="15" hidden="0" customHeight="1">
      <x:c r="A506" s="50"/>
      <x:c r="K506" s="50"/>
    </x:row>
    <x:row r="507" ht="15" hidden="0" customHeight="1">
      <x:c r="A507" s="50"/>
      <x:c r="K507" s="50"/>
    </x:row>
    <x:row r="508" ht="15" hidden="0" customHeight="1">
      <x:c r="A508" s="50"/>
      <x:c r="K508" s="50"/>
    </x:row>
    <x:row r="509" ht="15" hidden="0" customHeight="1">
      <x:c r="A509" s="50"/>
      <x:c r="K509" s="50"/>
    </x:row>
    <x:row r="510" ht="15" hidden="0" customHeight="1">
      <x:c r="A510" s="50"/>
      <x:c r="K510" s="50"/>
    </x:row>
    <x:row r="511" ht="15" hidden="0" customHeight="1">
      <x:c r="A511" s="50"/>
      <x:c r="K511" s="50"/>
    </x:row>
    <x:row r="512" ht="15" hidden="0" customHeight="1">
      <x:c r="A512" s="50"/>
      <x:c r="K512" s="50"/>
    </x:row>
    <x:row r="513" ht="15" hidden="0" customHeight="1">
      <x:c r="A513" s="50"/>
      <x:c r="K513" s="50"/>
    </x:row>
    <x:row r="514" ht="15" hidden="0" customHeight="1">
      <x:c r="A514" s="50"/>
      <x:c r="K514" s="50"/>
    </x:row>
    <x:row r="515" ht="15" hidden="0" customHeight="1">
      <x:c r="A515" s="50"/>
      <x:c r="K515" s="50"/>
    </x:row>
    <x:row r="516" ht="15" hidden="0" customHeight="1">
      <x:c r="A516" s="50"/>
      <x:c r="K516" s="50"/>
    </x:row>
    <x:row r="517" ht="15" hidden="0" customHeight="1">
      <x:c r="A517" s="50"/>
      <x:c r="K517" s="50"/>
    </x:row>
    <x:row r="518" ht="15" hidden="0" customHeight="1">
      <x:c r="A518" s="50"/>
      <x:c r="K518" s="50"/>
    </x:row>
    <x:row r="519" ht="15" hidden="0" customHeight="1">
      <x:c r="A519" s="50"/>
      <x:c r="K519" s="50"/>
    </x:row>
    <x:row r="520" ht="15" hidden="0" customHeight="1">
      <x:c r="A520" s="50"/>
      <x:c r="K520" s="50"/>
    </x:row>
    <x:row r="521" ht="15" hidden="0" customHeight="1">
      <x:c r="A521" s="50"/>
      <x:c r="K521" s="50"/>
    </x:row>
    <x:row r="522" ht="15" hidden="0" customHeight="1">
      <x:c r="A522" s="50"/>
      <x:c r="K522" s="50"/>
    </x:row>
    <x:row r="523" ht="15" hidden="0" customHeight="1">
      <x:c r="A523" s="50"/>
      <x:c r="K523" s="50"/>
    </x:row>
    <x:row r="524" ht="15" hidden="0" customHeight="1">
      <x:c r="A524" s="50"/>
      <x:c r="K524" s="50"/>
    </x:row>
    <x:row r="525" ht="15" hidden="0" customHeight="1">
      <x:c r="A525" s="50"/>
      <x:c r="K525" s="50"/>
    </x:row>
    <x:row r="526" ht="15" hidden="0" customHeight="1">
      <x:c r="A526" s="50"/>
      <x:c r="K526" s="50"/>
    </x:row>
    <x:row r="527" ht="15" hidden="0" customHeight="1">
      <x:c r="A527" s="50"/>
      <x:c r="K527" s="50"/>
    </x:row>
    <x:row r="528" ht="15" hidden="0" customHeight="1">
      <x:c r="A528" s="50"/>
      <x:c r="K528" s="50"/>
    </x:row>
    <x:row r="529" ht="15" hidden="0" customHeight="1">
      <x:c r="A529" s="50"/>
      <x:c r="K529" s="50"/>
    </x:row>
    <x:row r="530" ht="15" hidden="0" customHeight="1">
      <x:c r="A530" s="50"/>
      <x:c r="K530" s="50"/>
    </x:row>
    <x:row r="531" ht="15" hidden="0" customHeight="1">
      <x:c r="A531" s="50"/>
      <x:c r="K531" s="50"/>
    </x:row>
    <x:row r="532" ht="15" hidden="0" customHeight="1">
      <x:c r="A532" s="50"/>
      <x:c r="K532" s="50"/>
    </x:row>
    <x:row r="533" ht="15" hidden="0" customHeight="1">
      <x:c r="A533" s="50"/>
      <x:c r="K533" s="50"/>
    </x:row>
    <x:row r="534" ht="15" hidden="0" customHeight="1">
      <x:c r="A534" s="50"/>
      <x:c r="K534" s="50"/>
    </x:row>
    <x:row r="535" ht="15" hidden="0" customHeight="1">
      <x:c r="A535" s="50"/>
      <x:c r="K535" s="50"/>
    </x:row>
    <x:row r="536" ht="15" hidden="0" customHeight="1">
      <x:c r="A536" s="50"/>
      <x:c r="K536" s="50"/>
    </x:row>
    <x:row r="537" ht="15" hidden="0" customHeight="1">
      <x:c r="A537" s="50"/>
      <x:c r="K537" s="50"/>
    </x:row>
    <x:row r="538" ht="15" hidden="0" customHeight="1">
      <x:c r="A538" s="50"/>
      <x:c r="K538" s="50"/>
    </x:row>
    <x:row r="539" ht="15" hidden="0" customHeight="1">
      <x:c r="A539" s="50"/>
      <x:c r="K539" s="50"/>
    </x:row>
    <x:row r="540" ht="15" hidden="0" customHeight="1">
      <x:c r="A540" s="50"/>
      <x:c r="K540" s="50"/>
    </x:row>
    <x:row r="541" ht="15" hidden="0" customHeight="1">
      <x:c r="A541" s="50"/>
      <x:c r="K541" s="50"/>
    </x:row>
    <x:row r="542" ht="15" hidden="0" customHeight="1">
      <x:c r="A542" s="50"/>
      <x:c r="K542" s="50"/>
    </x:row>
    <x:row r="543" ht="15" hidden="0" customHeight="1">
      <x:c r="A543" s="50"/>
      <x:c r="K543" s="50"/>
    </x:row>
    <x:row r="544" ht="15" hidden="0" customHeight="1">
      <x:c r="A544" s="50"/>
      <x:c r="K544" s="50"/>
    </x:row>
    <x:row r="545" ht="15" hidden="0" customHeight="1">
      <x:c r="A545" s="50"/>
      <x:c r="K545" s="50"/>
    </x:row>
    <x:row r="546" ht="15" hidden="0" customHeight="1">
      <x:c r="A546" s="50"/>
      <x:c r="K546" s="50"/>
    </x:row>
    <x:row r="547" ht="15" hidden="0" customHeight="1">
      <x:c r="A547" s="50"/>
      <x:c r="K547" s="50"/>
    </x:row>
    <x:row r="548" ht="15" hidden="0" customHeight="1">
      <x:c r="A548" s="50"/>
      <x:c r="K548" s="50"/>
    </x:row>
    <x:row r="549" ht="15" hidden="0" customHeight="1">
      <x:c r="A549" s="50"/>
      <x:c r="K549" s="50"/>
    </x:row>
    <x:row r="550" ht="15" hidden="0" customHeight="1">
      <x:c r="A550" s="50"/>
      <x:c r="K550" s="50"/>
    </x:row>
    <x:row r="551" ht="15" hidden="0" customHeight="1">
      <x:c r="A551" s="50"/>
      <x:c r="K551" s="50"/>
    </x:row>
    <x:row r="552" ht="15" hidden="0" customHeight="1">
      <x:c r="A552" s="50"/>
      <x:c r="K552" s="50"/>
    </x:row>
    <x:row r="553" ht="15" hidden="0" customHeight="1">
      <x:c r="A553" s="50"/>
      <x:c r="K553" s="50"/>
    </x:row>
    <x:row r="554" ht="15" hidden="0" customHeight="1">
      <x:c r="A554" s="50"/>
      <x:c r="K554" s="50"/>
    </x:row>
    <x:row r="555" ht="15" hidden="0" customHeight="1">
      <x:c r="A555" s="50"/>
      <x:c r="K555" s="50"/>
    </x:row>
    <x:row r="556" ht="15" hidden="0" customHeight="1">
      <x:c r="A556" s="50"/>
      <x:c r="K556" s="50"/>
    </x:row>
    <x:row r="557" ht="15" hidden="0" customHeight="1">
      <x:c r="A557" s="50"/>
      <x:c r="K557" s="50"/>
    </x:row>
    <x:row r="558" ht="15" hidden="0" customHeight="1">
      <x:c r="A558" s="50"/>
      <x:c r="K558" s="50"/>
    </x:row>
    <x:row r="559" ht="15" hidden="0" customHeight="1">
      <x:c r="A559" s="50"/>
      <x:c r="K559" s="50"/>
    </x:row>
    <x:row r="560" ht="15" hidden="0" customHeight="1">
      <x:c r="A560" s="50"/>
      <x:c r="K560" s="50"/>
    </x:row>
    <x:row r="561" ht="15" hidden="0" customHeight="1">
      <x:c r="A561" s="50"/>
      <x:c r="K561" s="50"/>
    </x:row>
    <x:row r="562" ht="15" hidden="0" customHeight="1">
      <x:c r="A562" s="50"/>
      <x:c r="K562" s="50"/>
    </x:row>
    <x:row r="563" ht="15" hidden="0" customHeight="1">
      <x:c r="A563" s="50"/>
      <x:c r="K563" s="50"/>
    </x:row>
    <x:row r="564" ht="15" hidden="0" customHeight="1">
      <x:c r="A564" s="50"/>
      <x:c r="K564" s="50"/>
    </x:row>
    <x:row r="565" ht="15" hidden="0" customHeight="1">
      <x:c r="A565" s="50"/>
      <x:c r="K565" s="50"/>
    </x:row>
    <x:row r="566" ht="15" hidden="0" customHeight="1">
      <x:c r="A566" s="50"/>
      <x:c r="K566" s="50"/>
    </x:row>
    <x:row r="567" ht="15" hidden="0" customHeight="1">
      <x:c r="A567" s="50"/>
      <x:c r="K567" s="50"/>
    </x:row>
    <x:row r="568" ht="15" hidden="0" customHeight="1">
      <x:c r="A568" s="50"/>
      <x:c r="K568" s="50"/>
    </x:row>
    <x:row r="569" ht="15" hidden="0" customHeight="1">
      <x:c r="A569" s="50"/>
      <x:c r="K569" s="50"/>
    </x:row>
    <x:row r="570" ht="15" hidden="0" customHeight="1">
      <x:c r="A570" s="50"/>
      <x:c r="K570" s="50"/>
    </x:row>
    <x:row r="571" ht="15" hidden="0" customHeight="1">
      <x:c r="A571" s="50"/>
      <x:c r="K571" s="50"/>
    </x:row>
    <x:row r="572" ht="15" hidden="0" customHeight="1">
      <x:c r="A572" s="50"/>
      <x:c r="K572" s="50"/>
    </x:row>
    <x:row r="573" ht="15" hidden="0" customHeight="1">
      <x:c r="A573" s="50"/>
      <x:c r="K573" s="50"/>
    </x:row>
    <x:row r="574" ht="15" hidden="0" customHeight="1">
      <x:c r="A574" s="50"/>
      <x:c r="K574" s="50"/>
    </x:row>
    <x:row r="575" ht="15" hidden="0" customHeight="1">
      <x:c r="A575" s="50"/>
      <x:c r="K575" s="50"/>
    </x:row>
    <x:row r="576" ht="15" hidden="0" customHeight="1">
      <x:c r="A576" s="50"/>
      <x:c r="K576" s="50"/>
    </x:row>
    <x:row r="577" ht="15" hidden="0" customHeight="1">
      <x:c r="A577" s="50"/>
      <x:c r="K577" s="50"/>
    </x:row>
    <x:row r="578" ht="15" hidden="0" customHeight="1">
      <x:c r="A578" s="50"/>
      <x:c r="K578" s="50"/>
    </x:row>
    <x:row r="579" ht="15" hidden="0" customHeight="1">
      <x:c r="A579" s="50"/>
      <x:c r="K579" s="50"/>
    </x:row>
    <x:row r="580" ht="15" hidden="0" customHeight="1">
      <x:c r="A580" s="50"/>
      <x:c r="K580" s="50"/>
    </x:row>
    <x:row r="581" ht="15" hidden="0" customHeight="1">
      <x:c r="A581" s="50"/>
      <x:c r="K581" s="50"/>
    </x:row>
    <x:row r="582" ht="15" hidden="0" customHeight="1">
      <x:c r="A582" s="50"/>
      <x:c r="K582" s="50"/>
    </x:row>
    <x:row r="583" ht="15" hidden="0" customHeight="1">
      <x:c r="A583" s="50"/>
      <x:c r="K583" s="50"/>
    </x:row>
    <x:row r="584" ht="15" hidden="0" customHeight="1">
      <x:c r="A584" s="50"/>
      <x:c r="K584" s="50"/>
    </x:row>
    <x:row r="585" ht="15" hidden="0" customHeight="1">
      <x:c r="A585" s="50"/>
      <x:c r="K585" s="50"/>
    </x:row>
    <x:row r="586" ht="15" hidden="0" customHeight="1">
      <x:c r="A586" s="50"/>
      <x:c r="K586" s="50"/>
    </x:row>
    <x:row r="587" ht="15" hidden="0" customHeight="1">
      <x:c r="A587" s="50"/>
      <x:c r="K587" s="50"/>
    </x:row>
    <x:row r="588" ht="15" hidden="0" customHeight="1">
      <x:c r="A588" s="50"/>
      <x:c r="K588" s="50"/>
    </x:row>
    <x:row r="589" ht="15" hidden="0" customHeight="1">
      <x:c r="A589" s="50"/>
      <x:c r="K589" s="50"/>
    </x:row>
    <x:row r="590" ht="15" hidden="0" customHeight="1">
      <x:c r="A590" s="50"/>
      <x:c r="K590" s="50"/>
    </x:row>
    <x:row r="591" ht="15" hidden="0" customHeight="1">
      <x:c r="A591" s="50"/>
      <x:c r="K591" s="50"/>
    </x:row>
    <x:row r="592" ht="15" hidden="0" customHeight="1">
      <x:c r="A592" s="50"/>
      <x:c r="K592" s="50"/>
    </x:row>
    <x:row r="593" ht="15" hidden="0" customHeight="1">
      <x:c r="A593" s="50"/>
      <x:c r="K593" s="50"/>
    </x:row>
    <x:row r="594" ht="15" hidden="0" customHeight="1">
      <x:c r="A594" s="50"/>
      <x:c r="K594" s="50"/>
    </x:row>
    <x:row r="595" ht="15" hidden="0" customHeight="1">
      <x:c r="A595" s="50"/>
      <x:c r="K595" s="50"/>
    </x:row>
    <x:row r="596" ht="15" hidden="0" customHeight="1">
      <x:c r="A596" s="50"/>
      <x:c r="K596" s="50"/>
    </x:row>
    <x:row r="597" ht="15" hidden="0" customHeight="1">
      <x:c r="A597" s="50"/>
      <x:c r="K597" s="50"/>
    </x:row>
    <x:row r="598" ht="15" hidden="0" customHeight="1">
      <x:c r="A598" s="50"/>
      <x:c r="K598" s="50"/>
    </x:row>
    <x:row r="599" ht="15" hidden="0" customHeight="1">
      <x:c r="A599" s="50"/>
      <x:c r="K599" s="50"/>
    </x:row>
    <x:row r="600" ht="15" hidden="0" customHeight="1">
      <x:c r="A600" s="50"/>
      <x:c r="K600" s="50"/>
    </x:row>
    <x:row r="601" ht="15" hidden="0" customHeight="1">
      <x:c r="A601" s="50"/>
      <x:c r="K601" s="50"/>
    </x:row>
    <x:row r="602" ht="15" hidden="0" customHeight="1">
      <x:c r="A602" s="50"/>
      <x:c r="K602" s="50"/>
    </x:row>
    <x:row r="603" ht="15" hidden="0" customHeight="1">
      <x:c r="A603" s="50"/>
      <x:c r="K603" s="50"/>
    </x:row>
    <x:row r="604" ht="15" hidden="0" customHeight="1">
      <x:c r="A604" s="50"/>
      <x:c r="K604" s="50"/>
    </x:row>
    <x:row r="605" ht="15" hidden="0" customHeight="1">
      <x:c r="A605" s="50"/>
      <x:c r="K605" s="50"/>
    </x:row>
    <x:row r="606" ht="15" hidden="0" customHeight="1">
      <x:c r="A606" s="50"/>
      <x:c r="K606" s="50"/>
    </x:row>
    <x:row r="607" ht="15" hidden="0" customHeight="1">
      <x:c r="A607" s="50"/>
      <x:c r="K607" s="50"/>
    </x:row>
    <x:row r="608" ht="15" hidden="0" customHeight="1">
      <x:c r="A608" s="50"/>
      <x:c r="K608" s="50"/>
    </x:row>
    <x:row r="609" ht="15" hidden="0" customHeight="1">
      <x:c r="A609" s="50"/>
      <x:c r="K609" s="50"/>
    </x:row>
    <x:row r="610" ht="15" hidden="0" customHeight="1">
      <x:c r="A610" s="50"/>
      <x:c r="K610" s="50"/>
    </x:row>
    <x:row r="611" ht="15" hidden="0" customHeight="1">
      <x:c r="A611" s="50"/>
      <x:c r="K611" s="50"/>
    </x:row>
    <x:row r="612" ht="15" hidden="0" customHeight="1">
      <x:c r="A612" s="50"/>
      <x:c r="K612" s="50"/>
    </x:row>
    <x:row r="613" ht="15" hidden="0" customHeight="1">
      <x:c r="A613" s="50"/>
      <x:c r="K613" s="50"/>
    </x:row>
    <x:row r="614" ht="15" hidden="0" customHeight="1">
      <x:c r="A614" s="50"/>
      <x:c r="K614" s="50"/>
    </x:row>
    <x:row r="615" ht="15" hidden="0" customHeight="1">
      <x:c r="A615" s="50"/>
      <x:c r="K615" s="50"/>
    </x:row>
    <x:row r="616" ht="15" hidden="0" customHeight="1">
      <x:c r="A616" s="50"/>
      <x:c r="K616" s="50"/>
    </x:row>
    <x:row r="617" ht="15" hidden="0" customHeight="1">
      <x:c r="A617" s="50"/>
      <x:c r="K617" s="50"/>
    </x:row>
    <x:row r="618" ht="15" hidden="0" customHeight="1">
      <x:c r="A618" s="50"/>
      <x:c r="K618" s="50"/>
    </x:row>
    <x:row r="619" ht="15" hidden="0" customHeight="1">
      <x:c r="A619" s="50"/>
      <x:c r="K619" s="50"/>
    </x:row>
    <x:row r="620" ht="15" hidden="0" customHeight="1">
      <x:c r="A620" s="50"/>
      <x:c r="K620" s="50"/>
    </x:row>
    <x:row r="621" ht="15" hidden="0" customHeight="1">
      <x:c r="A621" s="50"/>
      <x:c r="K621" s="50"/>
    </x:row>
    <x:row r="622" ht="15" hidden="0" customHeight="1">
      <x:c r="A622" s="50"/>
      <x:c r="K622" s="50"/>
    </x:row>
    <x:row r="623" ht="15" hidden="0" customHeight="1">
      <x:c r="A623" s="50"/>
      <x:c r="K623" s="50"/>
    </x:row>
    <x:row r="624" ht="15" hidden="0" customHeight="1">
      <x:c r="A624" s="50"/>
      <x:c r="K624" s="50"/>
    </x:row>
    <x:row r="625" ht="15" hidden="0" customHeight="1">
      <x:c r="A625" s="50"/>
      <x:c r="K625" s="50"/>
    </x:row>
    <x:row r="626" ht="15" hidden="0" customHeight="1">
      <x:c r="A626" s="50"/>
      <x:c r="K626" s="50"/>
    </x:row>
    <x:row r="627" ht="15" hidden="0" customHeight="1">
      <x:c r="A627" s="50"/>
      <x:c r="K627" s="50"/>
    </x:row>
    <x:row r="628" ht="15" hidden="0" customHeight="1">
      <x:c r="A628" s="50"/>
      <x:c r="K628" s="50"/>
    </x:row>
    <x:row r="629" ht="15" hidden="0" customHeight="1">
      <x:c r="A629" s="50"/>
      <x:c r="K629" s="50"/>
    </x:row>
    <x:row r="630" ht="15" hidden="0" customHeight="1">
      <x:c r="A630" s="50"/>
      <x:c r="K630" s="50"/>
    </x:row>
    <x:row r="631" ht="15" hidden="0" customHeight="1">
      <x:c r="A631" s="50"/>
      <x:c r="K631" s="50"/>
    </x:row>
    <x:row r="632" ht="15" hidden="0" customHeight="1">
      <x:c r="A632" s="50"/>
      <x:c r="K632" s="50"/>
    </x:row>
    <x:row r="633" ht="15" hidden="0" customHeight="1">
      <x:c r="A633" s="50"/>
      <x:c r="K633" s="50"/>
    </x:row>
    <x:row r="634" ht="15" hidden="0" customHeight="1">
      <x:c r="A634" s="50"/>
      <x:c r="K634" s="50"/>
    </x:row>
    <x:row r="635" ht="15" hidden="0" customHeight="1">
      <x:c r="A635" s="50"/>
      <x:c r="K635" s="50"/>
    </x:row>
    <x:row r="636" ht="15" hidden="0" customHeight="1">
      <x:c r="A636" s="50"/>
      <x:c r="K636" s="50"/>
    </x:row>
    <x:row r="637" ht="15" hidden="0" customHeight="1">
      <x:c r="A637" s="50"/>
      <x:c r="K637" s="50"/>
    </x:row>
    <x:row r="638" ht="15" hidden="0" customHeight="1">
      <x:c r="A638" s="50"/>
      <x:c r="K638" s="50"/>
    </x:row>
    <x:row r="639" ht="15" hidden="0" customHeight="1">
      <x:c r="A639" s="50"/>
      <x:c r="K639" s="50"/>
    </x:row>
    <x:row r="640" ht="15" hidden="0" customHeight="1">
      <x:c r="A640" s="50"/>
      <x:c r="K640" s="50"/>
    </x:row>
    <x:row r="641" ht="15" hidden="0" customHeight="1">
      <x:c r="A641" s="50"/>
      <x:c r="K641" s="50"/>
    </x:row>
    <x:row r="642" ht="15" hidden="0" customHeight="1">
      <x:c r="A642" s="50"/>
      <x:c r="K642" s="50"/>
    </x:row>
    <x:row r="643" ht="15" hidden="0" customHeight="1">
      <x:c r="A643" s="50"/>
      <x:c r="K643" s="50"/>
    </x:row>
    <x:row r="644" ht="15" hidden="0" customHeight="1">
      <x:c r="A644" s="50"/>
      <x:c r="K644" s="50"/>
    </x:row>
    <x:row r="645" ht="15" hidden="0" customHeight="1">
      <x:c r="A645" s="50"/>
      <x:c r="K645" s="50"/>
    </x:row>
    <x:row r="646" ht="15" hidden="0" customHeight="1">
      <x:c r="A646" s="50"/>
      <x:c r="K646" s="50"/>
    </x:row>
    <x:row r="647" ht="15" hidden="0" customHeight="1">
      <x:c r="A647" s="50"/>
      <x:c r="K647" s="50"/>
    </x:row>
    <x:row r="648" ht="15" hidden="0" customHeight="1">
      <x:c r="A648" s="50"/>
      <x:c r="K648" s="50"/>
    </x:row>
    <x:row r="649" ht="15" hidden="0" customHeight="1">
      <x:c r="A649" s="50"/>
      <x:c r="K649" s="50"/>
    </x:row>
    <x:row r="650" ht="15" hidden="0" customHeight="1">
      <x:c r="A650" s="50"/>
      <x:c r="K650" s="50"/>
    </x:row>
    <x:row r="651" ht="15" hidden="0" customHeight="1">
      <x:c r="A651" s="50"/>
      <x:c r="K651" s="50"/>
    </x:row>
    <x:row r="652" ht="15" hidden="0" customHeight="1">
      <x:c r="A652" s="50"/>
      <x:c r="K652" s="50"/>
    </x:row>
    <x:row r="653" ht="15" hidden="0" customHeight="1">
      <x:c r="A653" s="50"/>
      <x:c r="K653" s="50"/>
    </x:row>
    <x:row r="654" ht="15" hidden="0" customHeight="1">
      <x:c r="A654" s="50"/>
      <x:c r="K654" s="50"/>
    </x:row>
    <x:row r="655" ht="15" hidden="0" customHeight="1">
      <x:c r="A655" s="50"/>
      <x:c r="K655" s="50"/>
    </x:row>
    <x:row r="656" ht="15" hidden="0" customHeight="1">
      <x:c r="A656" s="50"/>
      <x:c r="K656" s="50"/>
    </x:row>
    <x:row r="657" ht="15" hidden="0" customHeight="1">
      <x:c r="A657" s="50"/>
      <x:c r="K657" s="50"/>
    </x:row>
    <x:row r="658" ht="15" hidden="0" customHeight="1">
      <x:c r="A658" s="50"/>
      <x:c r="K658" s="50"/>
    </x:row>
    <x:row r="659" ht="15" hidden="0" customHeight="1">
      <x:c r="A659" s="50"/>
      <x:c r="K659" s="50"/>
    </x:row>
    <x:row r="660" ht="15" hidden="0" customHeight="1">
      <x:c r="A660" s="50"/>
      <x:c r="K660" s="50"/>
    </x:row>
    <x:row r="661" ht="15" hidden="0" customHeight="1">
      <x:c r="A661" s="50"/>
      <x:c r="K661" s="50"/>
    </x:row>
    <x:row r="662" ht="15" hidden="0" customHeight="1">
      <x:c r="A662" s="50"/>
      <x:c r="K662" s="50"/>
    </x:row>
    <x:row r="663" ht="15" hidden="0" customHeight="1">
      <x:c r="A663" s="50"/>
      <x:c r="K663" s="50"/>
    </x:row>
    <x:row r="664" ht="15" hidden="0" customHeight="1">
      <x:c r="A664" s="50"/>
      <x:c r="K664" s="50"/>
    </x:row>
    <x:row r="665" ht="15" hidden="0" customHeight="1">
      <x:c r="A665" s="50"/>
      <x:c r="K665" s="50"/>
    </x:row>
    <x:row r="666" ht="15" hidden="0" customHeight="1">
      <x:c r="A666" s="50"/>
      <x:c r="K666" s="50"/>
    </x:row>
    <x:row r="667" ht="15" hidden="0" customHeight="1">
      <x:c r="A667" s="50"/>
      <x:c r="K667" s="50"/>
    </x:row>
    <x:row r="668" ht="15" hidden="0" customHeight="1">
      <x:c r="A668" s="50"/>
      <x:c r="K668" s="50"/>
    </x:row>
    <x:row r="669" ht="15" hidden="0" customHeight="1">
      <x:c r="A669" s="50"/>
      <x:c r="K669" s="50"/>
    </x:row>
    <x:row r="670" ht="15" hidden="0" customHeight="1">
      <x:c r="A670" s="50"/>
      <x:c r="K670" s="50"/>
    </x:row>
    <x:row r="671" ht="15" hidden="0" customHeight="1">
      <x:c r="A671" s="50"/>
      <x:c r="K671" s="50"/>
    </x:row>
    <x:row r="672" ht="15" hidden="0" customHeight="1">
      <x:c r="A672" s="50"/>
      <x:c r="K672" s="50"/>
    </x:row>
    <x:row r="673" ht="15" hidden="0" customHeight="1">
      <x:c r="A673" s="50"/>
      <x:c r="K673" s="50"/>
    </x:row>
    <x:row r="674" ht="15" hidden="0" customHeight="1">
      <x:c r="A674" s="50"/>
      <x:c r="K674" s="50"/>
    </x:row>
    <x:row r="675" ht="15" hidden="0" customHeight="1">
      <x:c r="A675" s="50"/>
      <x:c r="K675" s="50"/>
    </x:row>
    <x:row r="676" ht="15" hidden="0" customHeight="1">
      <x:c r="A676" s="50"/>
      <x:c r="K676" s="50"/>
    </x:row>
    <x:row r="677" ht="15" hidden="0" customHeight="1">
      <x:c r="A677" s="50"/>
      <x:c r="K677" s="50"/>
    </x:row>
    <x:row r="678" ht="15" hidden="0" customHeight="1">
      <x:c r="A678" s="50"/>
      <x:c r="K678" s="50"/>
    </x:row>
    <x:row r="679" ht="15" hidden="0" customHeight="1">
      <x:c r="A679" s="50"/>
      <x:c r="K679" s="50"/>
    </x:row>
    <x:row r="680" ht="15" hidden="0" customHeight="1">
      <x:c r="A680" s="50"/>
      <x:c r="K680" s="50"/>
    </x:row>
    <x:row r="681" ht="15" hidden="0" customHeight="1">
      <x:c r="A681" s="50"/>
      <x:c r="K681" s="50"/>
    </x:row>
    <x:row r="682" ht="15" hidden="0" customHeight="1">
      <x:c r="A682" s="50"/>
      <x:c r="K682" s="50"/>
    </x:row>
    <x:row r="683" ht="15" hidden="0" customHeight="1">
      <x:c r="A683" s="50"/>
      <x:c r="K683" s="50"/>
    </x:row>
    <x:row r="684" ht="15" hidden="0" customHeight="1">
      <x:c r="A684" s="50"/>
      <x:c r="K684" s="50"/>
    </x:row>
    <x:row r="685" ht="15" hidden="0" customHeight="1">
      <x:c r="A685" s="50"/>
      <x:c r="K685" s="50"/>
    </x:row>
    <x:row r="686" ht="15" hidden="0" customHeight="1">
      <x:c r="A686" s="50"/>
      <x:c r="K686" s="50"/>
    </x:row>
    <x:row r="687" ht="15" hidden="0" customHeight="1">
      <x:c r="A687" s="50"/>
      <x:c r="K687" s="50"/>
    </x:row>
    <x:row r="688" ht="15" hidden="0" customHeight="1">
      <x:c r="A688" s="50"/>
      <x:c r="K688" s="50"/>
    </x:row>
    <x:row r="689" ht="15" hidden="0" customHeight="1">
      <x:c r="A689" s="50"/>
      <x:c r="K689" s="50"/>
    </x:row>
    <x:row r="690" ht="15" hidden="0" customHeight="1">
      <x:c r="A690" s="50"/>
      <x:c r="K690" s="50"/>
    </x:row>
    <x:row r="691" ht="15" hidden="0" customHeight="1">
      <x:c r="A691" s="50"/>
      <x:c r="K691" s="50"/>
    </x:row>
    <x:row r="692" ht="15" hidden="0" customHeight="1">
      <x:c r="A692" s="50"/>
      <x:c r="K692" s="50"/>
    </x:row>
    <x:row r="693" ht="15" hidden="0" customHeight="1">
      <x:c r="A693" s="50"/>
      <x:c r="K693" s="50"/>
    </x:row>
    <x:row r="694" ht="15" hidden="0" customHeight="1">
      <x:c r="A694" s="50"/>
      <x:c r="K694" s="50"/>
    </x:row>
    <x:row r="695" ht="15" hidden="0" customHeight="1">
      <x:c r="A695" s="50"/>
      <x:c r="K695" s="50"/>
    </x:row>
    <x:row r="696" ht="15" hidden="0" customHeight="1">
      <x:c r="A696" s="50"/>
      <x:c r="K696" s="50"/>
    </x:row>
    <x:row r="697" ht="15" hidden="0" customHeight="1">
      <x:c r="A697" s="50"/>
      <x:c r="K697" s="50"/>
    </x:row>
    <x:row r="698" ht="15" hidden="0" customHeight="1">
      <x:c r="A698" s="50"/>
      <x:c r="K698" s="50"/>
    </x:row>
    <x:row r="699" ht="15" hidden="0" customHeight="1">
      <x:c r="A699" s="50"/>
      <x:c r="K699" s="50"/>
    </x:row>
    <x:row r="700" ht="15" hidden="0" customHeight="1">
      <x:c r="A700" s="50"/>
      <x:c r="K700" s="50"/>
    </x:row>
    <x:row r="701" ht="15" hidden="0" customHeight="1">
      <x:c r="A701" s="50"/>
      <x:c r="K701" s="50"/>
    </x:row>
    <x:row r="702" ht="15" hidden="0" customHeight="1">
      <x:c r="A702" s="50"/>
      <x:c r="K702" s="50"/>
    </x:row>
    <x:row r="703" ht="15" hidden="0" customHeight="1">
      <x:c r="A703" s="50"/>
      <x:c r="K703" s="50"/>
    </x:row>
    <x:row r="704" ht="15" hidden="0" customHeight="1">
      <x:c r="A704" s="50"/>
      <x:c r="K704" s="50"/>
    </x:row>
    <x:row r="705" ht="15" hidden="0" customHeight="1">
      <x:c r="A705" s="50"/>
      <x:c r="K705" s="50"/>
    </x:row>
    <x:row r="706" ht="15" hidden="0" customHeight="1">
      <x:c r="A706" s="50"/>
      <x:c r="K706" s="50"/>
    </x:row>
    <x:row r="707" ht="15" hidden="0" customHeight="1">
      <x:c r="A707" s="50"/>
      <x:c r="K707" s="50"/>
    </x:row>
    <x:row r="708" ht="15" hidden="0" customHeight="1">
      <x:c r="A708" s="50"/>
      <x:c r="K708" s="50"/>
    </x:row>
    <x:row r="709" ht="15" hidden="0" customHeight="1">
      <x:c r="A709" s="50"/>
      <x:c r="K709" s="50"/>
    </x:row>
    <x:row r="710" ht="15" hidden="0" customHeight="1">
      <x:c r="A710" s="50"/>
      <x:c r="K710" s="50"/>
    </x:row>
    <x:row r="711" ht="15" hidden="0" customHeight="1">
      <x:c r="A711" s="50"/>
      <x:c r="K711" s="50"/>
    </x:row>
    <x:row r="712" ht="15" hidden="0" customHeight="1">
      <x:c r="A712" s="50"/>
      <x:c r="K712" s="50"/>
    </x:row>
    <x:row r="713" ht="15" hidden="0" customHeight="1">
      <x:c r="A713" s="50"/>
      <x:c r="K713" s="50"/>
    </x:row>
    <x:row r="714" ht="15" hidden="0" customHeight="1">
      <x:c r="A714" s="50"/>
      <x:c r="K714" s="50"/>
    </x:row>
    <x:row r="715" ht="15" hidden="0" customHeight="1">
      <x:c r="A715" s="50"/>
      <x:c r="K715" s="50"/>
    </x:row>
    <x:row r="716" ht="15" hidden="0" customHeight="1">
      <x:c r="A716" s="50"/>
      <x:c r="K716" s="50"/>
    </x:row>
    <x:row r="717" ht="15" hidden="0" customHeight="1">
      <x:c r="A717" s="50"/>
      <x:c r="K717" s="50"/>
    </x:row>
    <x:row r="718" ht="15" hidden="0" customHeight="1">
      <x:c r="A718" s="50"/>
      <x:c r="K718" s="50"/>
    </x:row>
    <x:row r="719" ht="15" hidden="0" customHeight="1">
      <x:c r="A719" s="50"/>
      <x:c r="K719" s="50"/>
    </x:row>
    <x:row r="720" ht="15" hidden="0" customHeight="1">
      <x:c r="A720" s="50"/>
      <x:c r="K720" s="50"/>
    </x:row>
    <x:row r="721" ht="15" hidden="0" customHeight="1">
      <x:c r="A721" s="50"/>
      <x:c r="K721" s="50"/>
    </x:row>
    <x:row r="722" ht="15" hidden="0" customHeight="1">
      <x:c r="A722" s="50"/>
      <x:c r="K722" s="50"/>
    </x:row>
    <x:row r="723" ht="15" hidden="0" customHeight="1">
      <x:c r="A723" s="50"/>
      <x:c r="K723" s="50"/>
    </x:row>
    <x:row r="724" ht="15" hidden="0" customHeight="1">
      <x:c r="A724" s="50"/>
      <x:c r="K724" s="50"/>
    </x:row>
    <x:row r="725" ht="15" hidden="0" customHeight="1">
      <x:c r="A725" s="50"/>
      <x:c r="K725" s="50"/>
    </x:row>
    <x:row r="726" ht="15" hidden="0" customHeight="1">
      <x:c r="A726" s="50"/>
      <x:c r="K726" s="50"/>
    </x:row>
    <x:row r="727" ht="15" hidden="0" customHeight="1">
      <x:c r="A727" s="50"/>
      <x:c r="K727" s="50"/>
    </x:row>
    <x:row r="728" ht="15" hidden="0" customHeight="1">
      <x:c r="A728" s="50"/>
      <x:c r="K728" s="50"/>
    </x:row>
    <x:row r="729" ht="15" hidden="0" customHeight="1">
      <x:c r="A729" s="50"/>
      <x:c r="K729" s="50"/>
    </x:row>
    <x:row r="730" ht="15" hidden="0" customHeight="1">
      <x:c r="A730" s="50"/>
      <x:c r="K730" s="50"/>
    </x:row>
    <x:row r="731" ht="15" hidden="0" customHeight="1">
      <x:c r="A731" s="50"/>
      <x:c r="K731" s="50"/>
    </x:row>
    <x:row r="732" ht="15" hidden="0" customHeight="1">
      <x:c r="A732" s="50"/>
      <x:c r="K732" s="50"/>
    </x:row>
    <x:row r="733" ht="15" hidden="0" customHeight="1">
      <x:c r="A733" s="50"/>
      <x:c r="K733" s="50"/>
    </x:row>
    <x:row r="734" ht="15" hidden="0" customHeight="1">
      <x:c r="A734" s="50"/>
      <x:c r="K734" s="50"/>
    </x:row>
    <x:row r="735" ht="15" hidden="0" customHeight="1">
      <x:c r="A735" s="50"/>
      <x:c r="K735" s="50"/>
    </x:row>
    <x:row r="736" ht="15" hidden="0" customHeight="1">
      <x:c r="A736" s="50"/>
      <x:c r="K736" s="50"/>
    </x:row>
    <x:row r="737" ht="15" hidden="0" customHeight="1">
      <x:c r="A737" s="50"/>
      <x:c r="K737" s="50"/>
    </x:row>
    <x:row r="738" ht="15" hidden="0" customHeight="1">
      <x:c r="A738" s="50"/>
      <x:c r="K738" s="50"/>
    </x:row>
    <x:row r="739" ht="15" hidden="0" customHeight="1">
      <x:c r="A739" s="50"/>
      <x:c r="K739" s="50"/>
    </x:row>
    <x:row r="740" ht="15" hidden="0" customHeight="1">
      <x:c r="A740" s="50"/>
      <x:c r="K740" s="50"/>
    </x:row>
    <x:row r="741" ht="15" hidden="0" customHeight="1">
      <x:c r="A741" s="50"/>
      <x:c r="K741" s="50"/>
    </x:row>
    <x:row r="742" ht="15" hidden="0" customHeight="1">
      <x:c r="A742" s="50"/>
      <x:c r="K742" s="50"/>
    </x:row>
    <x:row r="743" ht="15" hidden="0" customHeight="1">
      <x:c r="A743" s="50"/>
      <x:c r="K743" s="50"/>
    </x:row>
    <x:row r="744" ht="15" hidden="0" customHeight="1">
      <x:c r="A744" s="50"/>
      <x:c r="K744" s="50"/>
    </x:row>
    <x:row r="745" ht="15" hidden="0" customHeight="1">
      <x:c r="A745" s="50"/>
      <x:c r="K745" s="50"/>
    </x:row>
    <x:row r="746" ht="15" hidden="0" customHeight="1">
      <x:c r="A746" s="50"/>
      <x:c r="K746" s="50"/>
    </x:row>
    <x:row r="747" ht="15" hidden="0" customHeight="1">
      <x:c r="A747" s="50"/>
      <x:c r="K747" s="50"/>
    </x:row>
    <x:row r="748" ht="15" hidden="0" customHeight="1">
      <x:c r="A748" s="50"/>
      <x:c r="K748" s="50"/>
    </x:row>
    <x:row r="749" ht="15" hidden="0" customHeight="1">
      <x:c r="A749" s="50"/>
      <x:c r="K749" s="50"/>
    </x:row>
    <x:row r="750" ht="15" hidden="0" customHeight="1">
      <x:c r="A750" s="50"/>
      <x:c r="K750" s="50"/>
    </x:row>
    <x:row r="751" ht="15" hidden="0" customHeight="1">
      <x:c r="A751" s="50"/>
      <x:c r="K751" s="50"/>
    </x:row>
    <x:row r="752" ht="15" hidden="0" customHeight="1">
      <x:c r="A752" s="50"/>
      <x:c r="K752" s="50"/>
    </x:row>
    <x:row r="753" ht="15" hidden="0" customHeight="1">
      <x:c r="A753" s="50"/>
      <x:c r="K753" s="50"/>
    </x:row>
    <x:row r="754" ht="15" hidden="0" customHeight="1">
      <x:c r="A754" s="50"/>
      <x:c r="K754" s="50"/>
    </x:row>
    <x:row r="755" ht="15" hidden="0" customHeight="1">
      <x:c r="A755" s="50"/>
      <x:c r="K755" s="50"/>
    </x:row>
    <x:row r="756" ht="15" hidden="0" customHeight="1">
      <x:c r="A756" s="50"/>
      <x:c r="K756" s="50"/>
    </x:row>
    <x:row r="757" ht="15" hidden="0" customHeight="1">
      <x:c r="A757" s="50"/>
      <x:c r="K757" s="50"/>
    </x:row>
    <x:row r="758" ht="15" hidden="0" customHeight="1">
      <x:c r="A758" s="50"/>
      <x:c r="K758" s="50"/>
    </x:row>
    <x:row r="759" ht="15" hidden="0" customHeight="1">
      <x:c r="A759" s="50"/>
      <x:c r="K759" s="50"/>
    </x:row>
    <x:row r="760" ht="15" hidden="0" customHeight="1">
      <x:c r="A760" s="50"/>
      <x:c r="K760" s="50"/>
    </x:row>
    <x:row r="761" ht="15" hidden="0" customHeight="1">
      <x:c r="A761" s="50"/>
      <x:c r="K761" s="50"/>
    </x:row>
    <x:row r="762" ht="15" hidden="0" customHeight="1">
      <x:c r="A762" s="50"/>
      <x:c r="K762" s="50"/>
    </x:row>
    <x:row r="763" ht="15" hidden="0" customHeight="1">
      <x:c r="A763" s="50"/>
      <x:c r="K763" s="50"/>
    </x:row>
    <x:row r="764" ht="15" hidden="0" customHeight="1">
      <x:c r="A764" s="50"/>
      <x:c r="K764" s="50"/>
    </x:row>
    <x:row r="765" ht="15" hidden="0" customHeight="1">
      <x:c r="A765" s="50"/>
      <x:c r="K765" s="50"/>
    </x:row>
    <x:row r="766" ht="15" hidden="0" customHeight="1">
      <x:c r="A766" s="50"/>
      <x:c r="K766" s="50"/>
    </x:row>
    <x:row r="767" ht="15" hidden="0" customHeight="1">
      <x:c r="A767" s="50"/>
      <x:c r="K767" s="50"/>
    </x:row>
    <x:row r="768" ht="15" hidden="0" customHeight="1">
      <x:c r="A768" s="50"/>
      <x:c r="K768" s="50"/>
    </x:row>
    <x:row r="769" ht="15" hidden="0" customHeight="1">
      <x:c r="A769" s="50"/>
      <x:c r="K769" s="50"/>
    </x:row>
    <x:row r="770" ht="15" hidden="0" customHeight="1">
      <x:c r="A770" s="50"/>
      <x:c r="K770" s="50"/>
    </x:row>
    <x:row r="771" ht="15" hidden="0" customHeight="1">
      <x:c r="A771" s="50"/>
      <x:c r="K771" s="50"/>
    </x:row>
    <x:row r="772" ht="15" hidden="0" customHeight="1">
      <x:c r="A772" s="50"/>
      <x:c r="K772" s="50"/>
    </x:row>
    <x:row r="773" ht="15" hidden="0" customHeight="1">
      <x:c r="A773" s="50"/>
      <x:c r="K773" s="50"/>
    </x:row>
    <x:row r="774" ht="15" hidden="0" customHeight="1">
      <x:c r="A774" s="50"/>
      <x:c r="K774" s="50"/>
    </x:row>
    <x:row r="775" ht="15" hidden="0" customHeight="1">
      <x:c r="A775" s="50"/>
      <x:c r="K775" s="50"/>
    </x:row>
    <x:row r="776" ht="15" hidden="0" customHeight="1">
      <x:c r="A776" s="50"/>
      <x:c r="K776" s="50"/>
    </x:row>
    <x:row r="777" ht="15" hidden="0" customHeight="1">
      <x:c r="A777" s="50"/>
      <x:c r="K777" s="50"/>
    </x:row>
    <x:row r="778" ht="15" hidden="0" customHeight="1">
      <x:c r="A778" s="50"/>
      <x:c r="K778" s="50"/>
    </x:row>
    <x:row r="779" ht="15" hidden="0" customHeight="1">
      <x:c r="A779" s="50"/>
      <x:c r="K779" s="50"/>
    </x:row>
    <x:row r="780" ht="15" hidden="0" customHeight="1">
      <x:c r="A780" s="50"/>
      <x:c r="K780" s="50"/>
    </x:row>
    <x:row r="781" ht="15" hidden="0" customHeight="1">
      <x:c r="A781" s="50"/>
      <x:c r="K781" s="50"/>
    </x:row>
    <x:row r="782" ht="15" hidden="0" customHeight="1">
      <x:c r="A782" s="50"/>
      <x:c r="K782" s="50"/>
    </x:row>
    <x:row r="783" ht="15" hidden="0" customHeight="1">
      <x:c r="A783" s="50"/>
      <x:c r="K783" s="50"/>
    </x:row>
    <x:row r="784" ht="15" hidden="0" customHeight="1">
      <x:c r="A784" s="50"/>
      <x:c r="K784" s="50"/>
    </x:row>
    <x:row r="785" ht="15" hidden="0" customHeight="1">
      <x:c r="A785" s="50"/>
      <x:c r="K785" s="50"/>
    </x:row>
    <x:row r="786" ht="15" hidden="0" customHeight="1">
      <x:c r="A786" s="50"/>
      <x:c r="K786" s="50"/>
    </x:row>
    <x:row r="787" ht="15" hidden="0" customHeight="1">
      <x:c r="A787" s="50"/>
      <x:c r="K787" s="50"/>
    </x:row>
    <x:row r="788" ht="15" hidden="0" customHeight="1">
      <x:c r="A788" s="50"/>
      <x:c r="K788" s="50"/>
    </x:row>
    <x:row r="789" ht="15" hidden="0" customHeight="1">
      <x:c r="A789" s="50"/>
      <x:c r="K789" s="50"/>
    </x:row>
    <x:row r="790" ht="15" hidden="0" customHeight="1">
      <x:c r="A790" s="50"/>
      <x:c r="K790" s="50"/>
    </x:row>
    <x:row r="791" ht="15" hidden="0" customHeight="1">
      <x:c r="A791" s="50"/>
      <x:c r="K791" s="50"/>
    </x:row>
    <x:row r="792" ht="15" hidden="0" customHeight="1">
      <x:c r="A792" s="50"/>
      <x:c r="K792" s="50"/>
    </x:row>
    <x:row r="793" ht="15" hidden="0" customHeight="1">
      <x:c r="A793" s="50"/>
      <x:c r="K793" s="50"/>
    </x:row>
    <x:row r="794" ht="15" hidden="0" customHeight="1">
      <x:c r="A794" s="50"/>
      <x:c r="K794" s="50"/>
    </x:row>
    <x:row r="795" ht="15" hidden="0" customHeight="1">
      <x:c r="A795" s="50"/>
      <x:c r="K795" s="50"/>
    </x:row>
    <x:row r="796" ht="15" hidden="0" customHeight="1">
      <x:c r="A796" s="50"/>
      <x:c r="K796" s="50"/>
    </x:row>
    <x:row r="797" ht="15" hidden="0" customHeight="1">
      <x:c r="A797" s="50"/>
      <x:c r="K797" s="50"/>
    </x:row>
    <x:row r="798" ht="15" hidden="0" customHeight="1">
      <x:c r="A798" s="50"/>
      <x:c r="K798" s="50"/>
    </x:row>
    <x:row r="799" ht="15" hidden="0" customHeight="1">
      <x:c r="A799" s="50"/>
      <x:c r="K799" s="50"/>
    </x:row>
    <x:row r="800" ht="15" hidden="0" customHeight="1">
      <x:c r="A800" s="50"/>
      <x:c r="K800" s="50"/>
    </x:row>
    <x:row r="801" ht="15" hidden="0" customHeight="1">
      <x:c r="A801" s="50"/>
      <x:c r="K801" s="50"/>
    </x:row>
    <x:row r="802" ht="15" hidden="0" customHeight="1">
      <x:c r="A802" s="50"/>
      <x:c r="K802" s="50"/>
    </x:row>
    <x:row r="803" ht="15" hidden="0" customHeight="1">
      <x:c r="A803" s="50"/>
      <x:c r="K803" s="50"/>
    </x:row>
    <x:row r="804" ht="15" hidden="0" customHeight="1">
      <x:c r="A804" s="50"/>
      <x:c r="K804" s="50"/>
    </x:row>
    <x:row r="805" ht="15" hidden="0" customHeight="1">
      <x:c r="A805" s="50"/>
      <x:c r="K805" s="50"/>
    </x:row>
    <x:row r="806" ht="15" hidden="0" customHeight="1">
      <x:c r="A806" s="50"/>
      <x:c r="K806" s="50"/>
    </x:row>
    <x:row r="807" ht="15" hidden="0" customHeight="1">
      <x:c r="A807" s="50"/>
      <x:c r="K807" s="50"/>
    </x:row>
    <x:row r="808" ht="15" hidden="0" customHeight="1">
      <x:c r="A808" s="50"/>
      <x:c r="K808" s="50"/>
    </x:row>
    <x:row r="809" ht="15" hidden="0" customHeight="1">
      <x:c r="A809" s="50"/>
      <x:c r="K809" s="50"/>
    </x:row>
    <x:row r="810" ht="15" hidden="0" customHeight="1">
      <x:c r="A810" s="50"/>
      <x:c r="K810" s="50"/>
    </x:row>
    <x:row r="811" ht="15" hidden="0" customHeight="1">
      <x:c r="A811" s="50"/>
      <x:c r="K811" s="50"/>
    </x:row>
    <x:row r="812" ht="15" hidden="0" customHeight="1">
      <x:c r="A812" s="50"/>
      <x:c r="K812" s="50"/>
    </x:row>
    <x:row r="813" ht="15" hidden="0" customHeight="1">
      <x:c r="A813" s="50"/>
      <x:c r="K813" s="50"/>
    </x:row>
    <x:row r="814" ht="15" hidden="0" customHeight="1">
      <x:c r="A814" s="50"/>
      <x:c r="K814" s="50"/>
    </x:row>
    <x:row r="815" ht="15" hidden="0" customHeight="1">
      <x:c r="A815" s="50"/>
      <x:c r="K815" s="50"/>
    </x:row>
    <x:row r="816" ht="15" hidden="0" customHeight="1">
      <x:c r="A816" s="50"/>
      <x:c r="K816" s="50"/>
    </x:row>
    <x:row r="817" ht="15" hidden="0" customHeight="1">
      <x:c r="A817" s="50"/>
      <x:c r="K817" s="50"/>
    </x:row>
    <x:row r="818" ht="15" hidden="0" customHeight="1">
      <x:c r="A818" s="50"/>
      <x:c r="K818" s="50"/>
    </x:row>
    <x:row r="819" ht="15" hidden="0" customHeight="1">
      <x:c r="A819" s="50"/>
      <x:c r="K819" s="50"/>
    </x:row>
    <x:row r="820" ht="15" hidden="0" customHeight="1">
      <x:c r="A820" s="50"/>
      <x:c r="K820" s="50"/>
    </x:row>
    <x:row r="821" ht="15" hidden="0" customHeight="1">
      <x:c r="A821" s="50"/>
      <x:c r="K821" s="50"/>
    </x:row>
    <x:row r="822" ht="15" hidden="0" customHeight="1">
      <x:c r="A822" s="50"/>
      <x:c r="K822" s="50"/>
    </x:row>
    <x:row r="823" ht="15" hidden="0" customHeight="1">
      <x:c r="A823" s="50"/>
      <x:c r="K823" s="50"/>
    </x:row>
    <x:row r="824" ht="15" hidden="0" customHeight="1">
      <x:c r="A824" s="50"/>
      <x:c r="K824" s="50"/>
    </x:row>
    <x:row r="825" ht="15" hidden="0" customHeight="1">
      <x:c r="A825" s="50"/>
      <x:c r="K825" s="50"/>
    </x:row>
    <x:row r="826" ht="15" hidden="0" customHeight="1">
      <x:c r="A826" s="50"/>
      <x:c r="K826" s="50"/>
    </x:row>
    <x:row r="827" ht="15" hidden="0" customHeight="1">
      <x:c r="A827" s="50"/>
      <x:c r="K827" s="50"/>
    </x:row>
    <x:row r="828" ht="15" hidden="0" customHeight="1">
      <x:c r="A828" s="50"/>
      <x:c r="K828" s="50"/>
    </x:row>
    <x:row r="829" ht="15" hidden="0" customHeight="1">
      <x:c r="A829" s="50"/>
      <x:c r="K829" s="50"/>
    </x:row>
    <x:row r="830" ht="15" hidden="0" customHeight="1">
      <x:c r="A830" s="50"/>
      <x:c r="K830" s="50"/>
    </x:row>
    <x:row r="831" ht="15" hidden="0" customHeight="1">
      <x:c r="A831" s="50"/>
      <x:c r="K831" s="50"/>
    </x:row>
    <x:row r="832" ht="15" hidden="0" customHeight="1">
      <x:c r="A832" s="50"/>
      <x:c r="K832" s="50"/>
    </x:row>
    <x:row r="833" ht="15" hidden="0" customHeight="1">
      <x:c r="A833" s="50"/>
      <x:c r="K833" s="50"/>
    </x:row>
    <x:row r="834" ht="15" hidden="0" customHeight="1">
      <x:c r="A834" s="50"/>
      <x:c r="K834" s="50"/>
    </x:row>
    <x:row r="835" ht="15" hidden="0" customHeight="1">
      <x:c r="A835" s="50"/>
      <x:c r="K835" s="50"/>
    </x:row>
    <x:row r="836" ht="15" hidden="0" customHeight="1">
      <x:c r="A836" s="50"/>
      <x:c r="K836" s="50"/>
    </x:row>
    <x:row r="837" ht="15" hidden="0" customHeight="1">
      <x:c r="A837" s="50"/>
      <x:c r="K837" s="50"/>
    </x:row>
    <x:row r="838" ht="15" hidden="0" customHeight="1">
      <x:c r="A838" s="50"/>
      <x:c r="K838" s="50"/>
    </x:row>
    <x:row r="839" ht="15" hidden="0" customHeight="1">
      <x:c r="A839" s="50"/>
      <x:c r="K839" s="50"/>
    </x:row>
    <x:row r="840" ht="15" hidden="0" customHeight="1">
      <x:c r="A840" s="50"/>
      <x:c r="K840" s="50"/>
    </x:row>
    <x:row r="841" ht="15" hidden="0" customHeight="1">
      <x:c r="A841" s="50"/>
      <x:c r="K841" s="50"/>
    </x:row>
    <x:row r="842" ht="15" hidden="0" customHeight="1">
      <x:c r="A842" s="50"/>
      <x:c r="K842" s="50"/>
    </x:row>
    <x:row r="843" ht="15" hidden="0" customHeight="1">
      <x:c r="A843" s="50"/>
      <x:c r="K843" s="50"/>
    </x:row>
    <x:row r="844" ht="15" hidden="0" customHeight="1">
      <x:c r="A844" s="50"/>
      <x:c r="K844" s="50"/>
    </x:row>
    <x:row r="845" ht="15" hidden="0" customHeight="1">
      <x:c r="A845" s="50"/>
      <x:c r="K845" s="50"/>
    </x:row>
    <x:row r="846" ht="15" hidden="0" customHeight="1">
      <x:c r="A846" s="50"/>
      <x:c r="K846" s="50"/>
    </x:row>
    <x:row r="847" ht="15" hidden="0" customHeight="1">
      <x:c r="A847" s="50"/>
      <x:c r="K847" s="50"/>
    </x:row>
    <x:row r="848" ht="15" hidden="0" customHeight="1">
      <x:c r="A848" s="50"/>
      <x:c r="K848" s="50"/>
    </x:row>
    <x:row r="849" ht="15" hidden="0" customHeight="1">
      <x:c r="A849" s="50"/>
      <x:c r="K849" s="50"/>
    </x:row>
    <x:row r="850" ht="15" hidden="0" customHeight="1">
      <x:c r="A850" s="50"/>
      <x:c r="K850" s="50"/>
    </x:row>
    <x:row r="851" ht="15" hidden="0" customHeight="1">
      <x:c r="A851" s="50"/>
      <x:c r="K851" s="50"/>
    </x:row>
    <x:row r="852" ht="15" hidden="0" customHeight="1">
      <x:c r="A852" s="50"/>
      <x:c r="K852" s="50"/>
    </x:row>
    <x:row r="853" ht="15" hidden="0" customHeight="1">
      <x:c r="A853" s="50"/>
      <x:c r="K853" s="50"/>
    </x:row>
    <x:row r="854" ht="15" hidden="0" customHeight="1">
      <x:c r="A854" s="50"/>
      <x:c r="K854" s="50"/>
    </x:row>
    <x:row r="855" ht="15" hidden="0" customHeight="1">
      <x:c r="A855" s="50"/>
      <x:c r="K855" s="50"/>
    </x:row>
    <x:row r="856" ht="15" hidden="0" customHeight="1">
      <x:c r="A856" s="50"/>
      <x:c r="K856" s="50"/>
    </x:row>
    <x:row r="857" ht="15" hidden="0" customHeight="1">
      <x:c r="A857" s="50"/>
      <x:c r="K857" s="50"/>
    </x:row>
    <x:row r="858" ht="15" hidden="0" customHeight="1">
      <x:c r="A858" s="50"/>
      <x:c r="K858" s="50"/>
    </x:row>
    <x:row r="859" ht="15" hidden="0" customHeight="1">
      <x:c r="A859" s="50"/>
      <x:c r="K859" s="50"/>
    </x:row>
    <x:row r="860" ht="15" hidden="0" customHeight="1">
      <x:c r="A860" s="50"/>
      <x:c r="K860" s="50"/>
    </x:row>
    <x:row r="861" ht="15" hidden="0" customHeight="1">
      <x:c r="A861" s="50"/>
      <x:c r="K861" s="50"/>
    </x:row>
    <x:row r="862" ht="15" hidden="0" customHeight="1">
      <x:c r="A862" s="50"/>
      <x:c r="K862" s="50"/>
    </x:row>
    <x:row r="863" ht="15" hidden="0" customHeight="1">
      <x:c r="A863" s="50"/>
      <x:c r="K863" s="50"/>
    </x:row>
    <x:row r="864" ht="15" hidden="0" customHeight="1">
      <x:c r="A864" s="50"/>
      <x:c r="K864" s="50"/>
    </x:row>
    <x:row r="865" ht="15" hidden="0" customHeight="1">
      <x:c r="A865" s="50"/>
      <x:c r="K865" s="50"/>
    </x:row>
    <x:row r="866" ht="15" hidden="0" customHeight="1">
      <x:c r="A866" s="50"/>
      <x:c r="K866" s="50"/>
    </x:row>
    <x:row r="867" ht="15" hidden="0" customHeight="1">
      <x:c r="A867" s="50"/>
      <x:c r="K867" s="50"/>
    </x:row>
    <x:row r="868" ht="15" hidden="0" customHeight="1">
      <x:c r="A868" s="50"/>
      <x:c r="K868" s="50"/>
    </x:row>
    <x:row r="869" ht="15" hidden="0" customHeight="1">
      <x:c r="A869" s="50"/>
      <x:c r="K869" s="50"/>
    </x:row>
    <x:row r="870" ht="15" hidden="0" customHeight="1">
      <x:c r="A870" s="50"/>
      <x:c r="K870" s="50"/>
    </x:row>
    <x:row r="871" ht="15" hidden="0" customHeight="1">
      <x:c r="A871" s="50"/>
      <x:c r="K871" s="50"/>
    </x:row>
    <x:row r="872" ht="15" hidden="0" customHeight="1">
      <x:c r="A872" s="50"/>
      <x:c r="K872" s="50"/>
    </x:row>
    <x:row r="873" ht="15" hidden="0" customHeight="1">
      <x:c r="A873" s="50"/>
      <x:c r="K873" s="50"/>
    </x:row>
    <x:row r="874" ht="15" hidden="0" customHeight="1">
      <x:c r="A874" s="50"/>
      <x:c r="K874" s="50"/>
    </x:row>
    <x:row r="875" ht="15" hidden="0" customHeight="1">
      <x:c r="A875" s="50"/>
      <x:c r="K875" s="50"/>
    </x:row>
    <x:row r="876" ht="15" hidden="0" customHeight="1">
      <x:c r="A876" s="50"/>
      <x:c r="K876" s="50"/>
    </x:row>
    <x:row r="877" ht="15" hidden="0" customHeight="1">
      <x:c r="A877" s="50"/>
      <x:c r="K877" s="50"/>
    </x:row>
    <x:row r="878" ht="15" hidden="0" customHeight="1">
      <x:c r="A878" s="50"/>
      <x:c r="K878" s="50"/>
    </x:row>
    <x:row r="879" ht="15" hidden="0" customHeight="1">
      <x:c r="A879" s="50"/>
      <x:c r="K879" s="50"/>
    </x:row>
    <x:row r="880" ht="15" hidden="0" customHeight="1">
      <x:c r="A880" s="50"/>
      <x:c r="K880" s="50"/>
    </x:row>
    <x:row r="881" ht="15" hidden="0" customHeight="1">
      <x:c r="A881" s="50"/>
      <x:c r="K881" s="50"/>
    </x:row>
    <x:row r="882" ht="15" hidden="0" customHeight="1">
      <x:c r="A882" s="50"/>
      <x:c r="K882" s="50"/>
    </x:row>
    <x:row r="883" ht="15" hidden="0" customHeight="1">
      <x:c r="A883" s="50"/>
      <x:c r="K883" s="50"/>
    </x:row>
    <x:row r="884" ht="15" hidden="0" customHeight="1">
      <x:c r="A884" s="50"/>
      <x:c r="K884" s="50"/>
    </x:row>
    <x:row r="885" ht="15" hidden="0" customHeight="1">
      <x:c r="A885" s="50"/>
      <x:c r="K885" s="50"/>
    </x:row>
    <x:row r="886" ht="15" hidden="0" customHeight="1">
      <x:c r="A886" s="50"/>
      <x:c r="K886" s="50"/>
    </x:row>
    <x:row r="887" ht="15" hidden="0" customHeight="1">
      <x:c r="A887" s="50"/>
      <x:c r="K887" s="50"/>
    </x:row>
    <x:row r="888" ht="15" hidden="0" customHeight="1">
      <x:c r="A888" s="50"/>
      <x:c r="K888" s="50"/>
    </x:row>
    <x:row r="889" ht="15" hidden="0" customHeight="1">
      <x:c r="A889" s="50"/>
      <x:c r="K889" s="50"/>
    </x:row>
    <x:row r="890" ht="15" hidden="0" customHeight="1">
      <x:c r="A890" s="50"/>
      <x:c r="K890" s="50"/>
    </x:row>
    <x:row r="891" ht="15" hidden="0" customHeight="1">
      <x:c r="A891" s="50"/>
      <x:c r="K891" s="50"/>
    </x:row>
    <x:row r="892" ht="15" hidden="0" customHeight="1">
      <x:c r="A892" s="50"/>
      <x:c r="K892" s="50"/>
    </x:row>
    <x:row r="893" ht="15" hidden="0" customHeight="1">
      <x:c r="A893" s="50"/>
      <x:c r="K893" s="50"/>
    </x:row>
    <x:row r="894" ht="15" hidden="0" customHeight="1">
      <x:c r="A894" s="50"/>
      <x:c r="K894" s="50"/>
    </x:row>
    <x:row r="895" ht="15" hidden="0" customHeight="1">
      <x:c r="A895" s="50"/>
      <x:c r="K895" s="50"/>
    </x:row>
    <x:row r="896" ht="15" hidden="0" customHeight="1">
      <x:c r="A896" s="50"/>
      <x:c r="K896" s="50"/>
    </x:row>
    <x:row r="897" ht="15" hidden="0" customHeight="1">
      <x:c r="A897" s="50"/>
      <x:c r="K897" s="50"/>
    </x:row>
    <x:row r="898" ht="15" hidden="0" customHeight="1">
      <x:c r="A898" s="50"/>
      <x:c r="K898" s="50"/>
    </x:row>
    <x:row r="899" ht="15" hidden="0" customHeight="1">
      <x:c r="A899" s="50"/>
      <x:c r="K899" s="50"/>
    </x:row>
    <x:row r="900" ht="15" hidden="0" customHeight="1">
      <x:c r="A900" s="50"/>
      <x:c r="K900" s="50"/>
    </x:row>
    <x:row r="901" ht="15" hidden="0" customHeight="1">
      <x:c r="A901" s="50"/>
      <x:c r="K901" s="50"/>
    </x:row>
    <x:row r="902" ht="15" hidden="0" customHeight="1">
      <x:c r="A902" s="50"/>
      <x:c r="K902" s="50"/>
    </x:row>
    <x:row r="903" ht="15" hidden="0" customHeight="1">
      <x:c r="A903" s="50"/>
      <x:c r="K903" s="50"/>
    </x:row>
    <x:row r="904" ht="15" hidden="0" customHeight="1">
      <x:c r="A904" s="50"/>
      <x:c r="K904" s="50"/>
    </x:row>
    <x:row r="905" ht="15" hidden="0" customHeight="1">
      <x:c r="A905" s="50"/>
      <x:c r="K905" s="50"/>
    </x:row>
    <x:row r="906" ht="15" hidden="0" customHeight="1">
      <x:c r="A906" s="50"/>
      <x:c r="K906" s="50"/>
    </x:row>
    <x:row r="907" ht="15" hidden="0" customHeight="1">
      <x:c r="A907" s="50"/>
      <x:c r="K907" s="50"/>
    </x:row>
    <x:row r="908" ht="15" hidden="0" customHeight="1">
      <x:c r="A908" s="50"/>
      <x:c r="K908" s="50"/>
    </x:row>
    <x:row r="909" ht="15" hidden="0" customHeight="1">
      <x:c r="A909" s="50"/>
      <x:c r="K909" s="50"/>
    </x:row>
    <x:row r="910" ht="15" hidden="0" customHeight="1">
      <x:c r="A910" s="50"/>
      <x:c r="K910" s="50"/>
    </x:row>
    <x:row r="911" ht="15" hidden="0" customHeight="1">
      <x:c r="A911" s="50"/>
      <x:c r="K911" s="50"/>
    </x:row>
    <x:row r="912" ht="15" hidden="0" customHeight="1">
      <x:c r="A912" s="50"/>
      <x:c r="K912" s="50"/>
    </x:row>
    <x:row r="913" ht="15" hidden="0" customHeight="1">
      <x:c r="A913" s="50"/>
      <x:c r="K913" s="50"/>
    </x:row>
    <x:row r="914" ht="15" hidden="0" customHeight="1">
      <x:c r="A914" s="50"/>
      <x:c r="K914" s="50"/>
    </x:row>
    <x:row r="915" ht="15" hidden="0" customHeight="1">
      <x:c r="A915" s="50"/>
      <x:c r="K915" s="50"/>
    </x:row>
    <x:row r="916" ht="15" hidden="0" customHeight="1">
      <x:c r="A916" s="50"/>
      <x:c r="K916" s="50"/>
    </x:row>
    <x:row r="917" ht="15" hidden="0" customHeight="1">
      <x:c r="A917" s="50"/>
      <x:c r="K917" s="50"/>
    </x:row>
    <x:row r="918" ht="15" hidden="0" customHeight="1">
      <x:c r="A918" s="50"/>
      <x:c r="K918" s="50"/>
    </x:row>
    <x:row r="919" ht="15" hidden="0" customHeight="1">
      <x:c r="A919" s="50"/>
      <x:c r="K919" s="50"/>
    </x:row>
    <x:row r="920" ht="15" hidden="0" customHeight="1">
      <x:c r="A920" s="50"/>
      <x:c r="K920" s="50"/>
    </x:row>
    <x:row r="921" ht="15" hidden="0" customHeight="1">
      <x:c r="A921" s="50"/>
      <x:c r="K921" s="50"/>
    </x:row>
    <x:row r="922" ht="15" hidden="0" customHeight="1">
      <x:c r="A922" s="50"/>
      <x:c r="K922" s="50"/>
    </x:row>
    <x:row r="923" ht="15" hidden="0" customHeight="1">
      <x:c r="A923" s="50"/>
      <x:c r="K923" s="50"/>
    </x:row>
    <x:row r="924" ht="15" hidden="0" customHeight="1">
      <x:c r="A924" s="50"/>
      <x:c r="K924" s="50"/>
    </x:row>
    <x:row r="925" ht="15" hidden="0" customHeight="1">
      <x:c r="A925" s="50"/>
      <x:c r="K925" s="50"/>
    </x:row>
    <x:row r="926" ht="15" hidden="0" customHeight="1">
      <x:c r="A926" s="50"/>
      <x:c r="K926" s="50"/>
    </x:row>
    <x:row r="927" ht="15" hidden="0" customHeight="1">
      <x:c r="A927" s="50"/>
      <x:c r="K927" s="50"/>
    </x:row>
    <x:row r="928" ht="15" hidden="0" customHeight="1">
      <x:c r="A928" s="50"/>
      <x:c r="K928" s="50"/>
    </x:row>
    <x:row r="929" ht="15" hidden="0" customHeight="1">
      <x:c r="A929" s="50"/>
      <x:c r="K929" s="50"/>
    </x:row>
    <x:row r="930" ht="15" hidden="0" customHeight="1">
      <x:c r="A930" s="50"/>
      <x:c r="K930" s="50"/>
    </x:row>
    <x:row r="931" ht="15" hidden="0" customHeight="1">
      <x:c r="A931" s="50"/>
      <x:c r="K931" s="50"/>
    </x:row>
    <x:row r="932" ht="15" hidden="0" customHeight="1">
      <x:c r="A932" s="50"/>
      <x:c r="K932" s="50"/>
    </x:row>
    <x:row r="933" ht="15" hidden="0" customHeight="1">
      <x:c r="A933" s="50"/>
      <x:c r="K933" s="50"/>
    </x:row>
    <x:row r="934" ht="15" hidden="0" customHeight="1">
      <x:c r="A934" s="50"/>
      <x:c r="K934" s="50"/>
    </x:row>
    <x:row r="935" ht="15" hidden="0" customHeight="1">
      <x:c r="A935" s="50"/>
      <x:c r="K935" s="50"/>
    </x:row>
    <x:row r="936" ht="15" hidden="0" customHeight="1">
      <x:c r="A936" s="50"/>
      <x:c r="K936" s="50"/>
    </x:row>
    <x:row r="937" ht="15" hidden="0" customHeight="1">
      <x:c r="A937" s="50"/>
      <x:c r="K937" s="50"/>
    </x:row>
    <x:row r="938" ht="15" hidden="0" customHeight="1">
      <x:c r="A938" s="50"/>
      <x:c r="K938" s="50"/>
    </x:row>
    <x:row r="939" ht="15" hidden="0" customHeight="1">
      <x:c r="A939" s="50"/>
      <x:c r="K939" s="50"/>
    </x:row>
    <x:row r="940" ht="15" hidden="0" customHeight="1">
      <x:c r="A940" s="50"/>
      <x:c r="K940" s="50"/>
    </x:row>
    <x:row r="941" ht="15" hidden="0" customHeight="1">
      <x:c r="A941" s="50"/>
      <x:c r="K941" s="50"/>
    </x:row>
    <x:row r="942" ht="15" hidden="0" customHeight="1">
      <x:c r="A942" s="50"/>
      <x:c r="K942" s="50"/>
    </x:row>
    <x:row r="943" ht="15" hidden="0" customHeight="1">
      <x:c r="A943" s="50"/>
      <x:c r="K943" s="50"/>
    </x:row>
    <x:row r="944" ht="15" hidden="0" customHeight="1">
      <x:c r="A944" s="50"/>
      <x:c r="K944" s="50"/>
    </x:row>
    <x:row r="945" ht="15" hidden="0" customHeight="1">
      <x:c r="A945" s="50"/>
      <x:c r="K945" s="50"/>
    </x:row>
    <x:row r="946" ht="15" hidden="0" customHeight="1">
      <x:c r="A946" s="50"/>
      <x:c r="K946" s="50"/>
    </x:row>
    <x:row r="947" ht="15" hidden="0" customHeight="1">
      <x:c r="A947" s="50"/>
      <x:c r="K947" s="50"/>
    </x:row>
    <x:row r="948" ht="15" hidden="0" customHeight="1">
      <x:c r="A948" s="50"/>
      <x:c r="K948" s="50"/>
    </x:row>
    <x:row r="949" ht="15" hidden="0" customHeight="1">
      <x:c r="A949" s="50"/>
      <x:c r="K949" s="50"/>
    </x:row>
    <x:row r="950" ht="15" hidden="0" customHeight="1">
      <x:c r="A950" s="50"/>
      <x:c r="K950" s="50"/>
    </x:row>
    <x:row r="951" ht="15" hidden="0" customHeight="1">
      <x:c r="A951" s="50"/>
      <x:c r="K951" s="50"/>
    </x:row>
    <x:row r="952" ht="15" hidden="0" customHeight="1">
      <x:c r="A952" s="50"/>
      <x:c r="K952" s="50"/>
    </x:row>
    <x:row r="953" ht="15" hidden="0" customHeight="1">
      <x:c r="A953" s="50"/>
      <x:c r="K953" s="50"/>
    </x:row>
    <x:row r="954" ht="15" hidden="0" customHeight="1">
      <x:c r="A954" s="50"/>
      <x:c r="K954" s="50"/>
    </x:row>
    <x:row r="955" ht="15" hidden="0" customHeight="1">
      <x:c r="A955" s="50"/>
      <x:c r="K955" s="50"/>
    </x:row>
    <x:row r="956" ht="15" hidden="0" customHeight="1">
      <x:c r="A956" s="50"/>
      <x:c r="K956" s="50"/>
    </x:row>
    <x:row r="957" ht="15" hidden="0" customHeight="1">
      <x:c r="A957" s="50"/>
      <x:c r="K957" s="50"/>
    </x:row>
    <x:row r="958" ht="15" hidden="0" customHeight="1">
      <x:c r="A958" s="50"/>
      <x:c r="K958" s="50"/>
    </x:row>
    <x:row r="959" ht="15" hidden="0" customHeight="1">
      <x:c r="A959" s="50"/>
      <x:c r="K959" s="50"/>
    </x:row>
    <x:row r="960" ht="15" hidden="0" customHeight="1">
      <x:c r="A960" s="50"/>
      <x:c r="K960" s="50"/>
    </x:row>
    <x:row r="961" ht="15" hidden="0" customHeight="1">
      <x:c r="A961" s="50"/>
      <x:c r="K961" s="50"/>
    </x:row>
    <x:row r="962" ht="15" hidden="0" customHeight="1">
      <x:c r="A962" s="50"/>
      <x:c r="K962" s="50"/>
    </x:row>
    <x:row r="963" ht="15" hidden="0" customHeight="1">
      <x:c r="A963" s="50"/>
      <x:c r="K963" s="50"/>
    </x:row>
    <x:row r="964" ht="15" hidden="0" customHeight="1">
      <x:c r="A964" s="50"/>
      <x:c r="K964" s="50"/>
    </x:row>
    <x:row r="965" ht="15" hidden="0" customHeight="1">
      <x:c r="A965" s="50"/>
      <x:c r="K965" s="50"/>
    </x:row>
    <x:row r="966" ht="15" hidden="0" customHeight="1">
      <x:c r="A966" s="50"/>
      <x:c r="K966" s="50"/>
    </x:row>
    <x:row r="967" ht="15" hidden="0" customHeight="1">
      <x:c r="A967" s="50"/>
      <x:c r="K967" s="50"/>
    </x:row>
    <x:row r="968" ht="15" hidden="0" customHeight="1">
      <x:c r="A968" s="50"/>
      <x:c r="K968" s="50"/>
    </x:row>
    <x:row r="969" ht="15" hidden="0" customHeight="1">
      <x:c r="A969" s="50"/>
      <x:c r="K969" s="50"/>
    </x:row>
    <x:row r="970" ht="15" hidden="0" customHeight="1">
      <x:c r="A970" s="50"/>
      <x:c r="K970" s="50"/>
    </x:row>
    <x:row r="971" ht="15" hidden="0" customHeight="1">
      <x:c r="A971" s="50"/>
      <x:c r="K971" s="50"/>
    </x:row>
    <x:row r="972" ht="15" hidden="0" customHeight="1">
      <x:c r="A972" s="50"/>
      <x:c r="K972" s="50"/>
    </x:row>
    <x:row r="973" ht="15" hidden="0" customHeight="1">
      <x:c r="A973" s="50"/>
      <x:c r="K973" s="50"/>
    </x:row>
    <x:row r="974" ht="15" hidden="0" customHeight="1">
      <x:c r="A974" s="50"/>
      <x:c r="K974" s="50"/>
    </x:row>
    <x:row r="975" ht="15" hidden="0" customHeight="1">
      <x:c r="A975" s="50"/>
      <x:c r="K975" s="50"/>
    </x:row>
    <x:row r="976" ht="15" hidden="0" customHeight="1">
      <x:c r="A976" s="50"/>
      <x:c r="K976" s="50"/>
    </x:row>
    <x:row r="977" ht="15" hidden="0" customHeight="1">
      <x:c r="A977" s="50"/>
      <x:c r="K977" s="50"/>
    </x:row>
    <x:row r="978" ht="15" hidden="0" customHeight="1">
      <x:c r="A978" s="50"/>
      <x:c r="K978" s="50"/>
    </x:row>
    <x:row r="979" ht="15" hidden="0" customHeight="1">
      <x:c r="A979" s="50"/>
      <x:c r="K979" s="50"/>
    </x:row>
    <x:row r="980" ht="15" hidden="0" customHeight="1">
      <x:c r="A980" s="50"/>
      <x:c r="K980" s="50"/>
    </x:row>
    <x:row r="981" ht="15" hidden="0" customHeight="1">
      <x:c r="A981" s="50"/>
      <x:c r="K981" s="50"/>
    </x:row>
    <x:row r="982" ht="15" hidden="0" customHeight="1">
      <x:c r="A982" s="50"/>
      <x:c r="K982" s="50"/>
    </x:row>
    <x:row r="983" ht="15" hidden="0" customHeight="1">
      <x:c r="A983" s="50"/>
      <x:c r="K983" s="50"/>
    </x:row>
    <x:row r="984" ht="15" hidden="0" customHeight="1">
      <x:c r="A984" s="50"/>
      <x:c r="K984" s="50"/>
    </x:row>
    <x:row r="985" ht="15" hidden="0" customHeight="1">
      <x:c r="A985" s="50"/>
      <x:c r="K985" s="50"/>
    </x:row>
    <x:row r="986" ht="15" hidden="0" customHeight="1">
      <x:c r="A986" s="50"/>
      <x:c r="K986" s="50"/>
    </x:row>
    <x:row r="987" ht="15" hidden="0" customHeight="1">
      <x:c r="A987" s="50"/>
      <x:c r="K987" s="50"/>
    </x:row>
    <x:row r="988" ht="15" hidden="0" customHeight="1">
      <x:c r="A988" s="50"/>
      <x:c r="K988" s="50"/>
    </x:row>
    <x:row r="989" ht="15" hidden="0" customHeight="1">
      <x:c r="A989" s="50"/>
      <x:c r="K989" s="50"/>
    </x:row>
    <x:row r="990" ht="15" hidden="0" customHeight="1">
      <x:c r="A990" s="50"/>
      <x:c r="K990" s="50"/>
    </x:row>
    <x:row r="991" ht="15" hidden="0" customHeight="1">
      <x:c r="A991" s="50"/>
      <x:c r="K991" s="50"/>
    </x:row>
    <x:row r="992" ht="15" hidden="0" customHeight="1">
      <x:c r="A992" s="50"/>
      <x:c r="K992" s="50"/>
    </x:row>
    <x:row r="993" ht="15" hidden="0" customHeight="1">
      <x:c r="A993" s="50"/>
      <x:c r="K993" s="50"/>
    </x:row>
    <x:row r="994" ht="15" hidden="0" customHeight="1">
      <x:c r="A994" s="50"/>
      <x:c r="K994" s="50"/>
    </x:row>
    <x:row r="995" ht="15" hidden="0" customHeight="1">
      <x:c r="A995" s="50"/>
      <x:c r="K995" s="50"/>
    </x:row>
    <x:row r="996" ht="15" hidden="0" customHeight="1">
      <x:c r="A996" s="50"/>
      <x:c r="K996" s="50"/>
    </x:row>
    <x:row r="997" ht="15" hidden="0" customHeight="1">
      <x:c r="A997" s="50"/>
      <x:c r="K997" s="50"/>
    </x:row>
    <x:row r="998" ht="15" hidden="0" customHeight="1">
      <x:c r="A998" s="50"/>
      <x:c r="K998" s="50"/>
    </x:row>
    <x:row r="999" ht="15" hidden="0" customHeight="1">
      <x:c r="A999" s="50"/>
      <x:c r="K999" s="50"/>
    </x:row>
    <x:row r="1000" ht="15" hidden="0" customHeight="1">
      <x:c r="A1000" s="50"/>
      <x:c r="K1000" s="50"/>
    </x:row>
    <x:row r="1001">
      <x:c r="A1001" s="50"/>
      <x:c r="K1001" s="50"/>
    </x:row>
    <x:row r="1002">
      <x:c r="A1002" s="50"/>
      <x:c r="K1002" s="50"/>
    </x:row>
    <x:row r="1003">
      <x:c r="A1003" s="50"/>
      <x:c r="K1003" s="50"/>
    </x:row>
    <x:row r="1004">
      <x:c r="A1004" s="50"/>
      <x:c r="K1004" s="50"/>
    </x:row>
  </x:sheetData>
  <x:dataValidations count="5">
    <x:dataValidation type="list" sqref="E5:E1004">
      <x:formula1>Dropdowns!$A$2:$A$7</x:formula1>
    </x:dataValidation>
    <x:dataValidation type="list" sqref="F5:F1004">
      <x:formula1>Dropdowns!$D$2:$D$8</x:formula1>
    </x:dataValidation>
    <x:dataValidation type="list" sqref="G5:G1004">
      <x:formula1>Dropdowns!$E$2:$E$10</x:formula1>
    </x:dataValidation>
    <x:dataValidation type="list" sqref="I5:I1004">
      <x:formula1>Dropdowns!$F$2:$F$10</x:formula1>
    </x:dataValidation>
    <x:dataValidation type="list" sqref="L5:L1004">
      <x:formula1>Dropdowns!$I$2:$I$5</x:formula1>
    </x:dataValidation>
  </x:dataValidations>
  <x:pageMargins left="0.7" right="0.7" top="0.75" bottom="0.75" header="0.3" footer="0.3"/>
  <x:tableParts count="1">
    <x:tablePart xmlns:r="http://schemas.openxmlformats.org/officeDocument/2006/relationships" r:id="Rd6c8ac6c6289491d"/>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24" hidden="0" customWidth="1"/>
    <x:col min="5" max="5" width="22" hidden="0" customWidth="1"/>
    <x:col min="6" max="6" width="18" hidden="0" customWidth="1"/>
    <x:col min="7" max="7" width="26" hidden="0" customWidth="1"/>
    <x:col min="8" max="8" width="16" hidden="0" customWidth="1"/>
    <x:col min="9" max="9" width="14" hidden="0" customWidth="1"/>
    <x:col min="10" max="10" width="12" hidden="0" customWidth="1"/>
    <x:col min="11" max="11" width="16" hidden="0" customWidth="1"/>
    <x:col min="12" max="12" width="36" hidden="0" customWidth="1"/>
    <x:col min="13" max="13" width="12" hidden="0" customWidth="1"/>
    <x:col min="14" max="14" width="50" hidden="0" customWidth="1"/>
  </x:cols>
  <x:sheetData>
    <x:row r="1" ht="30" hidden="0" customHeight="1">
      <x:c r="A1" s="5" t="str">
        <x:v>Opportunity Pipeline</x:v>
      </x:c>
      <x:c r="B1" s="5"/>
      <x:c r="C1" s="5"/>
      <x:c r="D1" s="5"/>
      <x:c r="E1" s="5"/>
      <x:c r="F1" s="5"/>
      <x:c r="G1" s="5"/>
      <x:c r="H1" s="5"/>
    </x:row>
    <x:row r="2" ht="38" hidden="0" customHeight="1">
      <x:c r="A2" s="13" t="str">
        <x:v>Only add prospects once there is a real business path: diagnostic, pilot, partner package, investment, strategic review, acquisition-path, or acqui-hire path.</x:v>
      </x:c>
      <x:c r="B2" s="13"/>
      <x:c r="C2" s="13"/>
      <x:c r="D2" s="13"/>
      <x:c r="E2" s="13"/>
      <x:c r="F2" s="13"/>
      <x:c r="G2" s="13"/>
      <x:c r="H2" s="13"/>
    </x:row>
    <x:row r="3"/>
    <x:row r="4" ht="15" hidden="0" customHeight="1">
      <x:c r="A4" s="22" t="str">
        <x:v>Opp ID</x:v>
      </x:c>
      <x:c r="B4" s="22" t="str">
        <x:v>Created</x:v>
      </x:c>
      <x:c r="C4" s="22" t="str">
        <x:v>Target ID</x:v>
      </x:c>
      <x:c r="D4" s="22" t="str">
        <x:v>Organization</x:v>
      </x:c>
      <x:c r="E4" s="22" t="str">
        <x:v>Primary Contact</x:v>
      </x:c>
      <x:c r="F4" s="22" t="str">
        <x:v>Lane</x:v>
      </x:c>
      <x:c r="G4" s="22" t="str">
        <x:v>Offer Type</x:v>
      </x:c>
      <x:c r="H4" s="22" t="str">
        <x:v>Stage</x:v>
      </x:c>
      <x:c r="I4" s="22" t="str">
        <x:v>Est. Value</x:v>
      </x:c>
      <x:c r="J4" s="22" t="str">
        <x:v>Probability</x:v>
      </x:c>
      <x:c r="K4" s="22" t="str">
        <x:v>Weighted Value</x:v>
      </x:c>
      <x:c r="L4" s="22" t="str">
        <x:v>Next Step</x:v>
      </x:c>
      <x:c r="M4" s="22" t="str">
        <x:v>Next Date</x:v>
      </x:c>
      <x:c r="N4" s="22" t="str">
        <x:v>Notes</x:v>
      </x:c>
    </x:row>
    <x:row r="5" ht="15" hidden="0" customHeight="1">
      <x:c r="B5" s="50"/>
      <x:c r="I5" s="42"/>
      <x:c r="J5" s="44"/>
      <x:c r="K5" s="42" t="n">
        <x:f>IFERROR(I5*J5,0)</x:f>
        <x:v>0</x:v>
      </x:c>
      <x:c r="M5" s="50"/>
    </x:row>
    <x:row r="6" ht="15" hidden="0" customHeight="1">
      <x:c r="B6" s="50"/>
      <x:c r="I6" s="42"/>
      <x:c r="J6" s="44"/>
      <x:c r="K6" s="42" t="n">
        <x:f>IFERROR(I6*J6,0)</x:f>
        <x:v>0</x:v>
      </x:c>
      <x:c r="M6" s="50"/>
    </x:row>
    <x:row r="7" ht="15" hidden="0" customHeight="1">
      <x:c r="B7" s="50"/>
      <x:c r="I7" s="42"/>
      <x:c r="J7" s="44"/>
      <x:c r="K7" s="42" t="n">
        <x:f>IFERROR(I7*J7,0)</x:f>
        <x:v>0</x:v>
      </x:c>
      <x:c r="M7" s="50"/>
    </x:row>
    <x:row r="8" ht="15" hidden="0" customHeight="1">
      <x:c r="B8" s="50"/>
      <x:c r="I8" s="42"/>
      <x:c r="J8" s="44"/>
      <x:c r="K8" s="42" t="n">
        <x:f>IFERROR(I8*J8,0)</x:f>
        <x:v>0</x:v>
      </x:c>
      <x:c r="M8" s="50"/>
    </x:row>
    <x:row r="9" ht="15" hidden="0" customHeight="1">
      <x:c r="B9" s="50"/>
      <x:c r="I9" s="42"/>
      <x:c r="J9" s="44"/>
      <x:c r="K9" s="42" t="n">
        <x:f>IFERROR(I9*J9,0)</x:f>
        <x:v>0</x:v>
      </x:c>
      <x:c r="M9" s="50"/>
    </x:row>
    <x:row r="10" ht="15" hidden="0" customHeight="1">
      <x:c r="B10" s="50"/>
      <x:c r="I10" s="42"/>
      <x:c r="J10" s="44"/>
      <x:c r="K10" s="42" t="n">
        <x:f>IFERROR(I10*J10,0)</x:f>
        <x:v>0</x:v>
      </x:c>
      <x:c r="M10" s="50"/>
    </x:row>
    <x:row r="11" ht="15" hidden="0" customHeight="1">
      <x:c r="B11" s="50"/>
      <x:c r="I11" s="42"/>
      <x:c r="J11" s="44"/>
      <x:c r="K11" s="42" t="n">
        <x:f>IFERROR(I11*J11,0)</x:f>
        <x:v>0</x:v>
      </x:c>
      <x:c r="M11" s="50"/>
    </x:row>
    <x:row r="12" ht="15" hidden="0" customHeight="1">
      <x:c r="B12" s="50"/>
      <x:c r="I12" s="42"/>
      <x:c r="J12" s="44"/>
      <x:c r="K12" s="42" t="n">
        <x:f>IFERROR(I12*J12,0)</x:f>
        <x:v>0</x:v>
      </x:c>
      <x:c r="M12" s="50"/>
    </x:row>
    <x:row r="13" ht="15" hidden="0" customHeight="1">
      <x:c r="B13" s="50"/>
      <x:c r="I13" s="42"/>
      <x:c r="J13" s="44"/>
      <x:c r="K13" s="42" t="n">
        <x:f>IFERROR(I13*J13,0)</x:f>
        <x:v>0</x:v>
      </x:c>
      <x:c r="M13" s="50"/>
    </x:row>
    <x:row r="14" ht="15" hidden="0" customHeight="1">
      <x:c r="B14" s="50"/>
      <x:c r="I14" s="42"/>
      <x:c r="J14" s="44"/>
      <x:c r="K14" s="42" t="n">
        <x:f>IFERROR(I14*J14,0)</x:f>
        <x:v>0</x:v>
      </x:c>
      <x:c r="M14" s="50"/>
    </x:row>
    <x:row r="15" ht="15" hidden="0" customHeight="1">
      <x:c r="B15" s="50"/>
      <x:c r="I15" s="42"/>
      <x:c r="J15" s="44"/>
      <x:c r="K15" s="42" t="n">
        <x:f>IFERROR(I15*J15,0)</x:f>
        <x:v>0</x:v>
      </x:c>
      <x:c r="M15" s="50"/>
    </x:row>
    <x:row r="16" ht="15" hidden="0" customHeight="1">
      <x:c r="B16" s="50"/>
      <x:c r="I16" s="42"/>
      <x:c r="J16" s="44"/>
      <x:c r="K16" s="42" t="n">
        <x:f>IFERROR(I16*J16,0)</x:f>
        <x:v>0</x:v>
      </x:c>
      <x:c r="M16" s="50"/>
    </x:row>
    <x:row r="17" ht="15" hidden="0" customHeight="1">
      <x:c r="B17" s="50"/>
      <x:c r="I17" s="42"/>
      <x:c r="J17" s="44"/>
      <x:c r="K17" s="42" t="n">
        <x:f>IFERROR(I17*J17,0)</x:f>
        <x:v>0</x:v>
      </x:c>
      <x:c r="M17" s="50"/>
    </x:row>
    <x:row r="18" ht="15" hidden="0" customHeight="1">
      <x:c r="B18" s="50"/>
      <x:c r="I18" s="42"/>
      <x:c r="J18" s="44"/>
      <x:c r="K18" s="42" t="n">
        <x:f>IFERROR(I18*J18,0)</x:f>
        <x:v>0</x:v>
      </x:c>
      <x:c r="M18" s="50"/>
    </x:row>
    <x:row r="19" ht="15" hidden="0" customHeight="1">
      <x:c r="B19" s="50"/>
      <x:c r="I19" s="42"/>
      <x:c r="J19" s="44"/>
      <x:c r="K19" s="42" t="n">
        <x:f>IFERROR(I19*J19,0)</x:f>
        <x:v>0</x:v>
      </x:c>
      <x:c r="M19" s="50"/>
    </x:row>
    <x:row r="20" ht="15" hidden="0" customHeight="1">
      <x:c r="B20" s="50"/>
      <x:c r="I20" s="42"/>
      <x:c r="J20" s="44"/>
      <x:c r="K20" s="42" t="n">
        <x:f>IFERROR(I20*J20,0)</x:f>
        <x:v>0</x:v>
      </x:c>
      <x:c r="M20" s="50"/>
    </x:row>
    <x:row r="21" ht="15" hidden="0" customHeight="1">
      <x:c r="B21" s="50"/>
      <x:c r="I21" s="42"/>
      <x:c r="J21" s="44"/>
      <x:c r="K21" s="42" t="n">
        <x:f>IFERROR(I21*J21,0)</x:f>
        <x:v>0</x:v>
      </x:c>
      <x:c r="M21" s="50"/>
    </x:row>
    <x:row r="22" ht="15" hidden="0" customHeight="1">
      <x:c r="B22" s="50"/>
      <x:c r="I22" s="42"/>
      <x:c r="J22" s="44"/>
      <x:c r="K22" s="42" t="n">
        <x:f>IFERROR(I22*J22,0)</x:f>
        <x:v>0</x:v>
      </x:c>
      <x:c r="M22" s="50"/>
    </x:row>
    <x:row r="23" ht="15" hidden="0" customHeight="1">
      <x:c r="B23" s="50"/>
      <x:c r="I23" s="42"/>
      <x:c r="J23" s="44"/>
      <x:c r="K23" s="42" t="n">
        <x:f>IFERROR(I23*J23,0)</x:f>
        <x:v>0</x:v>
      </x:c>
      <x:c r="M23" s="50"/>
    </x:row>
    <x:row r="24" ht="15" hidden="0" customHeight="1">
      <x:c r="B24" s="50"/>
      <x:c r="I24" s="42"/>
      <x:c r="J24" s="44"/>
      <x:c r="K24" s="42" t="n">
        <x:f>IFERROR(I24*J24,0)</x:f>
        <x:v>0</x:v>
      </x:c>
      <x:c r="M24" s="50"/>
    </x:row>
    <x:row r="25" ht="15" hidden="0" customHeight="1">
      <x:c r="B25" s="50"/>
      <x:c r="I25" s="42"/>
      <x:c r="J25" s="44"/>
      <x:c r="K25" s="42" t="n">
        <x:f>IFERROR(I25*J25,0)</x:f>
        <x:v>0</x:v>
      </x:c>
      <x:c r="M25" s="50"/>
    </x:row>
    <x:row r="26" ht="15" hidden="0" customHeight="1">
      <x:c r="B26" s="50"/>
      <x:c r="I26" s="42"/>
      <x:c r="J26" s="44"/>
      <x:c r="K26" s="42" t="n">
        <x:f>IFERROR(I26*J26,0)</x:f>
        <x:v>0</x:v>
      </x:c>
      <x:c r="M26" s="50"/>
    </x:row>
    <x:row r="27" ht="15" hidden="0" customHeight="1">
      <x:c r="B27" s="50"/>
      <x:c r="I27" s="42"/>
      <x:c r="J27" s="44"/>
      <x:c r="K27" s="42" t="n">
        <x:f>IFERROR(I27*J27,0)</x:f>
        <x:v>0</x:v>
      </x:c>
      <x:c r="M27" s="50"/>
    </x:row>
    <x:row r="28" ht="15" hidden="0" customHeight="1">
      <x:c r="B28" s="50"/>
      <x:c r="I28" s="42"/>
      <x:c r="J28" s="44"/>
      <x:c r="K28" s="42" t="n">
        <x:f>IFERROR(I28*J28,0)</x:f>
        <x:v>0</x:v>
      </x:c>
      <x:c r="M28" s="50"/>
    </x:row>
    <x:row r="29" ht="15" hidden="0" customHeight="1">
      <x:c r="B29" s="50"/>
      <x:c r="I29" s="42"/>
      <x:c r="J29" s="44"/>
      <x:c r="K29" s="42" t="n">
        <x:f>IFERROR(I29*J29,0)</x:f>
        <x:v>0</x:v>
      </x:c>
      <x:c r="M29" s="50"/>
    </x:row>
    <x:row r="30" ht="15" hidden="0" customHeight="1">
      <x:c r="B30" s="50"/>
      <x:c r="I30" s="42"/>
      <x:c r="J30" s="44"/>
      <x:c r="K30" s="42" t="n">
        <x:f>IFERROR(I30*J30,0)</x:f>
        <x:v>0</x:v>
      </x:c>
      <x:c r="M30" s="50"/>
    </x:row>
    <x:row r="31" ht="15" hidden="0" customHeight="1">
      <x:c r="B31" s="50"/>
      <x:c r="I31" s="42"/>
      <x:c r="J31" s="44"/>
      <x:c r="K31" s="42" t="n">
        <x:f>IFERROR(I31*J31,0)</x:f>
        <x:v>0</x:v>
      </x:c>
      <x:c r="M31" s="50"/>
    </x:row>
    <x:row r="32" ht="15" hidden="0" customHeight="1">
      <x:c r="B32" s="50"/>
      <x:c r="I32" s="42"/>
      <x:c r="J32" s="44"/>
      <x:c r="K32" s="42" t="n">
        <x:f>IFERROR(I32*J32,0)</x:f>
        <x:v>0</x:v>
      </x:c>
      <x:c r="M32" s="50"/>
    </x:row>
    <x:row r="33" ht="15" hidden="0" customHeight="1">
      <x:c r="B33" s="50"/>
      <x:c r="I33" s="42"/>
      <x:c r="J33" s="44"/>
      <x:c r="K33" s="42" t="n">
        <x:f>IFERROR(I33*J33,0)</x:f>
        <x:v>0</x:v>
      </x:c>
      <x:c r="M33" s="50"/>
    </x:row>
    <x:row r="34" ht="15" hidden="0" customHeight="1">
      <x:c r="B34" s="50"/>
      <x:c r="I34" s="42"/>
      <x:c r="J34" s="44"/>
      <x:c r="K34" s="42" t="n">
        <x:f>IFERROR(I34*J34,0)</x:f>
        <x:v>0</x:v>
      </x:c>
      <x:c r="M34" s="50"/>
    </x:row>
    <x:row r="35" ht="15" hidden="0" customHeight="1">
      <x:c r="B35" s="50"/>
      <x:c r="I35" s="42"/>
      <x:c r="J35" s="44"/>
      <x:c r="K35" s="42" t="n">
        <x:f>IFERROR(I35*J35,0)</x:f>
        <x:v>0</x:v>
      </x:c>
      <x:c r="M35" s="50"/>
    </x:row>
    <x:row r="36" ht="15" hidden="0" customHeight="1">
      <x:c r="B36" s="50"/>
      <x:c r="I36" s="42"/>
      <x:c r="J36" s="44"/>
      <x:c r="K36" s="42" t="n">
        <x:f>IFERROR(I36*J36,0)</x:f>
        <x:v>0</x:v>
      </x:c>
      <x:c r="M36" s="50"/>
    </x:row>
    <x:row r="37" ht="15" hidden="0" customHeight="1">
      <x:c r="B37" s="50"/>
      <x:c r="I37" s="42"/>
      <x:c r="J37" s="44"/>
      <x:c r="K37" s="42" t="n">
        <x:f>IFERROR(I37*J37,0)</x:f>
        <x:v>0</x:v>
      </x:c>
      <x:c r="M37" s="50"/>
    </x:row>
    <x:row r="38" ht="15" hidden="0" customHeight="1">
      <x:c r="B38" s="50"/>
      <x:c r="I38" s="42"/>
      <x:c r="J38" s="44"/>
      <x:c r="K38" s="42" t="n">
        <x:f>IFERROR(I38*J38,0)</x:f>
        <x:v>0</x:v>
      </x:c>
      <x:c r="M38" s="50"/>
    </x:row>
    <x:row r="39" ht="15" hidden="0" customHeight="1">
      <x:c r="B39" s="50"/>
      <x:c r="I39" s="42"/>
      <x:c r="J39" s="44"/>
      <x:c r="K39" s="42" t="n">
        <x:f>IFERROR(I39*J39,0)</x:f>
        <x:v>0</x:v>
      </x:c>
      <x:c r="M39" s="50"/>
    </x:row>
    <x:row r="40" ht="15" hidden="0" customHeight="1">
      <x:c r="B40" s="50"/>
      <x:c r="I40" s="42"/>
      <x:c r="J40" s="44"/>
      <x:c r="K40" s="42" t="n">
        <x:f>IFERROR(I40*J40,0)</x:f>
        <x:v>0</x:v>
      </x:c>
      <x:c r="M40" s="50"/>
    </x:row>
    <x:row r="41" ht="15" hidden="0" customHeight="1">
      <x:c r="B41" s="50"/>
      <x:c r="I41" s="42"/>
      <x:c r="J41" s="44"/>
      <x:c r="K41" s="42" t="n">
        <x:f>IFERROR(I41*J41,0)</x:f>
        <x:v>0</x:v>
      </x:c>
      <x:c r="M41" s="50"/>
    </x:row>
    <x:row r="42" ht="15" hidden="0" customHeight="1">
      <x:c r="B42" s="50"/>
      <x:c r="I42" s="42"/>
      <x:c r="J42" s="44"/>
      <x:c r="K42" s="42" t="n">
        <x:f>IFERROR(I42*J42,0)</x:f>
        <x:v>0</x:v>
      </x:c>
      <x:c r="M42" s="50"/>
    </x:row>
    <x:row r="43" ht="15" hidden="0" customHeight="1">
      <x:c r="B43" s="50"/>
      <x:c r="I43" s="42"/>
      <x:c r="J43" s="44"/>
      <x:c r="K43" s="42" t="n">
        <x:f>IFERROR(I43*J43,0)</x:f>
        <x:v>0</x:v>
      </x:c>
      <x:c r="M43" s="50"/>
    </x:row>
    <x:row r="44" ht="15" hidden="0" customHeight="1">
      <x:c r="B44" s="50"/>
      <x:c r="I44" s="42"/>
      <x:c r="J44" s="44"/>
      <x:c r="K44" s="42" t="n">
        <x:f>IFERROR(I44*J44,0)</x:f>
        <x:v>0</x:v>
      </x:c>
      <x:c r="M44" s="50"/>
    </x:row>
    <x:row r="45" ht="15" hidden="0" customHeight="1">
      <x:c r="B45" s="50"/>
      <x:c r="I45" s="42"/>
      <x:c r="J45" s="44"/>
      <x:c r="K45" s="42" t="n">
        <x:f>IFERROR(I45*J45,0)</x:f>
        <x:v>0</x:v>
      </x:c>
      <x:c r="M45" s="50"/>
    </x:row>
    <x:row r="46" ht="15" hidden="0" customHeight="1">
      <x:c r="B46" s="50"/>
      <x:c r="I46" s="42"/>
      <x:c r="J46" s="44"/>
      <x:c r="K46" s="42" t="n">
        <x:f>IFERROR(I46*J46,0)</x:f>
        <x:v>0</x:v>
      </x:c>
      <x:c r="M46" s="50"/>
    </x:row>
    <x:row r="47" ht="15" hidden="0" customHeight="1">
      <x:c r="B47" s="50"/>
      <x:c r="I47" s="42"/>
      <x:c r="J47" s="44"/>
      <x:c r="K47" s="42" t="n">
        <x:f>IFERROR(I47*J47,0)</x:f>
        <x:v>0</x:v>
      </x:c>
      <x:c r="M47" s="50"/>
    </x:row>
    <x:row r="48" ht="15" hidden="0" customHeight="1">
      <x:c r="B48" s="50"/>
      <x:c r="I48" s="42"/>
      <x:c r="J48" s="44"/>
      <x:c r="K48" s="42" t="n">
        <x:f>IFERROR(I48*J48,0)</x:f>
        <x:v>0</x:v>
      </x:c>
      <x:c r="M48" s="50"/>
    </x:row>
    <x:row r="49" ht="15" hidden="0" customHeight="1">
      <x:c r="B49" s="50"/>
      <x:c r="I49" s="42"/>
      <x:c r="J49" s="44"/>
      <x:c r="K49" s="42" t="n">
        <x:f>IFERROR(I49*J49,0)</x:f>
        <x:v>0</x:v>
      </x:c>
      <x:c r="M49" s="50"/>
    </x:row>
    <x:row r="50" ht="15" hidden="0" customHeight="1">
      <x:c r="B50" s="50"/>
      <x:c r="I50" s="42"/>
      <x:c r="J50" s="44"/>
      <x:c r="K50" s="42" t="n">
        <x:f>IFERROR(I50*J50,0)</x:f>
        <x:v>0</x:v>
      </x:c>
      <x:c r="M50" s="50"/>
    </x:row>
    <x:row r="51" ht="15" hidden="0" customHeight="1">
      <x:c r="B51" s="50"/>
      <x:c r="I51" s="42"/>
      <x:c r="J51" s="44"/>
      <x:c r="K51" s="42" t="n">
        <x:f>IFERROR(I51*J51,0)</x:f>
        <x:v>0</x:v>
      </x:c>
      <x:c r="M51" s="50"/>
    </x:row>
    <x:row r="52" ht="15" hidden="0" customHeight="1">
      <x:c r="B52" s="50"/>
      <x:c r="I52" s="42"/>
      <x:c r="J52" s="44"/>
      <x:c r="K52" s="42" t="n">
        <x:f>IFERROR(I52*J52,0)</x:f>
        <x:v>0</x:v>
      </x:c>
      <x:c r="M52" s="50"/>
    </x:row>
    <x:row r="53" ht="15" hidden="0" customHeight="1">
      <x:c r="B53" s="50"/>
      <x:c r="I53" s="42"/>
      <x:c r="J53" s="44"/>
      <x:c r="K53" s="42" t="n">
        <x:f>IFERROR(I53*J53,0)</x:f>
        <x:v>0</x:v>
      </x:c>
      <x:c r="M53" s="50"/>
    </x:row>
    <x:row r="54" ht="15" hidden="0" customHeight="1">
      <x:c r="B54" s="50"/>
      <x:c r="I54" s="42"/>
      <x:c r="J54" s="44"/>
      <x:c r="K54" s="42" t="n">
        <x:f>IFERROR(I54*J54,0)</x:f>
        <x:v>0</x:v>
      </x:c>
      <x:c r="M54" s="50"/>
    </x:row>
    <x:row r="55" ht="15" hidden="0" customHeight="1">
      <x:c r="B55" s="50"/>
      <x:c r="I55" s="42"/>
      <x:c r="J55" s="44"/>
      <x:c r="K55" s="42" t="n">
        <x:f>IFERROR(I55*J55,0)</x:f>
        <x:v>0</x:v>
      </x:c>
      <x:c r="M55" s="50"/>
    </x:row>
    <x:row r="56" ht="15" hidden="0" customHeight="1">
      <x:c r="B56" s="50"/>
      <x:c r="I56" s="42"/>
      <x:c r="J56" s="44"/>
      <x:c r="K56" s="42" t="n">
        <x:f>IFERROR(I56*J56,0)</x:f>
        <x:v>0</x:v>
      </x:c>
      <x:c r="M56" s="50"/>
    </x:row>
    <x:row r="57" ht="15" hidden="0" customHeight="1">
      <x:c r="B57" s="50"/>
      <x:c r="I57" s="42"/>
      <x:c r="J57" s="44"/>
      <x:c r="K57" s="42" t="n">
        <x:f>IFERROR(I57*J57,0)</x:f>
        <x:v>0</x:v>
      </x:c>
      <x:c r="M57" s="50"/>
    </x:row>
    <x:row r="58" ht="15" hidden="0" customHeight="1">
      <x:c r="B58" s="50"/>
      <x:c r="I58" s="42"/>
      <x:c r="J58" s="44"/>
      <x:c r="K58" s="42" t="n">
        <x:f>IFERROR(I58*J58,0)</x:f>
        <x:v>0</x:v>
      </x:c>
      <x:c r="M58" s="50"/>
    </x:row>
    <x:row r="59" ht="15" hidden="0" customHeight="1">
      <x:c r="B59" s="50"/>
      <x:c r="I59" s="42"/>
      <x:c r="J59" s="44"/>
      <x:c r="K59" s="42" t="n">
        <x:f>IFERROR(I59*J59,0)</x:f>
        <x:v>0</x:v>
      </x:c>
      <x:c r="M59" s="50"/>
    </x:row>
    <x:row r="60" ht="15" hidden="0" customHeight="1">
      <x:c r="B60" s="50"/>
      <x:c r="I60" s="42"/>
      <x:c r="J60" s="44"/>
      <x:c r="K60" s="42" t="n">
        <x:f>IFERROR(I60*J60,0)</x:f>
        <x:v>0</x:v>
      </x:c>
      <x:c r="M60" s="50"/>
    </x:row>
    <x:row r="61" ht="15" hidden="0" customHeight="1">
      <x:c r="B61" s="50"/>
      <x:c r="I61" s="42"/>
      <x:c r="J61" s="44"/>
      <x:c r="K61" s="42" t="n">
        <x:f>IFERROR(I61*J61,0)</x:f>
        <x:v>0</x:v>
      </x:c>
      <x:c r="M61" s="50"/>
    </x:row>
    <x:row r="62" ht="15" hidden="0" customHeight="1">
      <x:c r="B62" s="50"/>
      <x:c r="I62" s="42"/>
      <x:c r="J62" s="44"/>
      <x:c r="K62" s="42" t="n">
        <x:f>IFERROR(I62*J62,0)</x:f>
        <x:v>0</x:v>
      </x:c>
      <x:c r="M62" s="50"/>
    </x:row>
    <x:row r="63" ht="15" hidden="0" customHeight="1">
      <x:c r="B63" s="50"/>
      <x:c r="I63" s="42"/>
      <x:c r="J63" s="44"/>
      <x:c r="K63" s="42" t="n">
        <x:f>IFERROR(I63*J63,0)</x:f>
        <x:v>0</x:v>
      </x:c>
      <x:c r="M63" s="50"/>
    </x:row>
    <x:row r="64" ht="15" hidden="0" customHeight="1">
      <x:c r="B64" s="50"/>
      <x:c r="I64" s="42"/>
      <x:c r="J64" s="44"/>
      <x:c r="K64" s="42" t="n">
        <x:f>IFERROR(I64*J64,0)</x:f>
        <x:v>0</x:v>
      </x:c>
      <x:c r="M64" s="50"/>
    </x:row>
    <x:row r="65" ht="15" hidden="0" customHeight="1">
      <x:c r="B65" s="50"/>
      <x:c r="I65" s="42"/>
      <x:c r="J65" s="44"/>
      <x:c r="K65" s="42" t="n">
        <x:f>IFERROR(I65*J65,0)</x:f>
        <x:v>0</x:v>
      </x:c>
      <x:c r="M65" s="50"/>
    </x:row>
    <x:row r="66" ht="15" hidden="0" customHeight="1">
      <x:c r="B66" s="50"/>
      <x:c r="I66" s="42"/>
      <x:c r="J66" s="44"/>
      <x:c r="K66" s="42" t="n">
        <x:f>IFERROR(I66*J66,0)</x:f>
        <x:v>0</x:v>
      </x:c>
      <x:c r="M66" s="50"/>
    </x:row>
    <x:row r="67" ht="15" hidden="0" customHeight="1">
      <x:c r="B67" s="50"/>
      <x:c r="I67" s="42"/>
      <x:c r="J67" s="44"/>
      <x:c r="K67" s="42" t="n">
        <x:f>IFERROR(I67*J67,0)</x:f>
        <x:v>0</x:v>
      </x:c>
      <x:c r="M67" s="50"/>
    </x:row>
    <x:row r="68" ht="15" hidden="0" customHeight="1">
      <x:c r="B68" s="50"/>
      <x:c r="I68" s="42"/>
      <x:c r="J68" s="44"/>
      <x:c r="K68" s="42" t="n">
        <x:f>IFERROR(I68*J68,0)</x:f>
        <x:v>0</x:v>
      </x:c>
      <x:c r="M68" s="50"/>
    </x:row>
    <x:row r="69" ht="15" hidden="0" customHeight="1">
      <x:c r="B69" s="50"/>
      <x:c r="I69" s="42"/>
      <x:c r="J69" s="44"/>
      <x:c r="K69" s="42" t="n">
        <x:f>IFERROR(I69*J69,0)</x:f>
        <x:v>0</x:v>
      </x:c>
      <x:c r="M69" s="50"/>
    </x:row>
    <x:row r="70" ht="15" hidden="0" customHeight="1">
      <x:c r="B70" s="50"/>
      <x:c r="I70" s="42"/>
      <x:c r="J70" s="44"/>
      <x:c r="K70" s="42" t="n">
        <x:f>IFERROR(I70*J70,0)</x:f>
        <x:v>0</x:v>
      </x:c>
      <x:c r="M70" s="50"/>
    </x:row>
    <x:row r="71" ht="15" hidden="0" customHeight="1">
      <x:c r="B71" s="50"/>
      <x:c r="I71" s="42"/>
      <x:c r="J71" s="44"/>
      <x:c r="K71" s="42" t="n">
        <x:f>IFERROR(I71*J71,0)</x:f>
        <x:v>0</x:v>
      </x:c>
      <x:c r="M71" s="50"/>
    </x:row>
    <x:row r="72" ht="15" hidden="0" customHeight="1">
      <x:c r="B72" s="50"/>
      <x:c r="I72" s="42"/>
      <x:c r="J72" s="44"/>
      <x:c r="K72" s="42" t="n">
        <x:f>IFERROR(I72*J72,0)</x:f>
        <x:v>0</x:v>
      </x:c>
      <x:c r="M72" s="50"/>
    </x:row>
    <x:row r="73" ht="15" hidden="0" customHeight="1">
      <x:c r="B73" s="50"/>
      <x:c r="I73" s="42"/>
      <x:c r="J73" s="44"/>
      <x:c r="K73" s="42" t="n">
        <x:f>IFERROR(I73*J73,0)</x:f>
        <x:v>0</x:v>
      </x:c>
      <x:c r="M73" s="50"/>
    </x:row>
    <x:row r="74" ht="15" hidden="0" customHeight="1">
      <x:c r="B74" s="50"/>
      <x:c r="I74" s="42"/>
      <x:c r="J74" s="44"/>
      <x:c r="K74" s="42" t="n">
        <x:f>IFERROR(I74*J74,0)</x:f>
        <x:v>0</x:v>
      </x:c>
      <x:c r="M74" s="50"/>
    </x:row>
    <x:row r="75" ht="15" hidden="0" customHeight="1">
      <x:c r="B75" s="50"/>
      <x:c r="I75" s="42"/>
      <x:c r="J75" s="44"/>
      <x:c r="K75" s="42" t="n">
        <x:f>IFERROR(I75*J75,0)</x:f>
        <x:v>0</x:v>
      </x:c>
      <x:c r="M75" s="50"/>
    </x:row>
    <x:row r="76" ht="15" hidden="0" customHeight="1">
      <x:c r="B76" s="50"/>
      <x:c r="I76" s="42"/>
      <x:c r="J76" s="44"/>
      <x:c r="K76" s="42" t="n">
        <x:f>IFERROR(I76*J76,0)</x:f>
        <x:v>0</x:v>
      </x:c>
      <x:c r="M76" s="50"/>
    </x:row>
    <x:row r="77" ht="15" hidden="0" customHeight="1">
      <x:c r="B77" s="50"/>
      <x:c r="I77" s="42"/>
      <x:c r="J77" s="44"/>
      <x:c r="K77" s="42" t="n">
        <x:f>IFERROR(I77*J77,0)</x:f>
        <x:v>0</x:v>
      </x:c>
      <x:c r="M77" s="50"/>
    </x:row>
    <x:row r="78" ht="15" hidden="0" customHeight="1">
      <x:c r="B78" s="50"/>
      <x:c r="I78" s="42"/>
      <x:c r="J78" s="44"/>
      <x:c r="K78" s="42" t="n">
        <x:f>IFERROR(I78*J78,0)</x:f>
        <x:v>0</x:v>
      </x:c>
      <x:c r="M78" s="50"/>
    </x:row>
    <x:row r="79" ht="15" hidden="0" customHeight="1">
      <x:c r="B79" s="50"/>
      <x:c r="I79" s="42"/>
      <x:c r="J79" s="44"/>
      <x:c r="K79" s="42" t="n">
        <x:f>IFERROR(I79*J79,0)</x:f>
        <x:v>0</x:v>
      </x:c>
      <x:c r="M79" s="50"/>
    </x:row>
    <x:row r="80" ht="15" hidden="0" customHeight="1">
      <x:c r="B80" s="50"/>
      <x:c r="I80" s="42"/>
      <x:c r="J80" s="44"/>
      <x:c r="K80" s="42" t="n">
        <x:f>IFERROR(I80*J80,0)</x:f>
        <x:v>0</x:v>
      </x:c>
      <x:c r="M80" s="50"/>
    </x:row>
    <x:row r="81" ht="15" hidden="0" customHeight="1">
      <x:c r="B81" s="50"/>
      <x:c r="I81" s="42"/>
      <x:c r="J81" s="44"/>
      <x:c r="K81" s="42" t="n">
        <x:f>IFERROR(I81*J81,0)</x:f>
        <x:v>0</x:v>
      </x:c>
      <x:c r="M81" s="50"/>
    </x:row>
    <x:row r="82" ht="15" hidden="0" customHeight="1">
      <x:c r="B82" s="50"/>
      <x:c r="I82" s="42"/>
      <x:c r="J82" s="44"/>
      <x:c r="K82" s="42" t="n">
        <x:f>IFERROR(I82*J82,0)</x:f>
        <x:v>0</x:v>
      </x:c>
      <x:c r="M82" s="50"/>
    </x:row>
    <x:row r="83" ht="15" hidden="0" customHeight="1">
      <x:c r="B83" s="50"/>
      <x:c r="I83" s="42"/>
      <x:c r="J83" s="44"/>
      <x:c r="K83" s="42" t="n">
        <x:f>IFERROR(I83*J83,0)</x:f>
        <x:v>0</x:v>
      </x:c>
      <x:c r="M83" s="50"/>
    </x:row>
    <x:row r="84" ht="15" hidden="0" customHeight="1">
      <x:c r="B84" s="50"/>
      <x:c r="I84" s="42"/>
      <x:c r="J84" s="44"/>
      <x:c r="K84" s="42" t="n">
        <x:f>IFERROR(I84*J84,0)</x:f>
        <x:v>0</x:v>
      </x:c>
      <x:c r="M84" s="50"/>
    </x:row>
    <x:row r="85" ht="15" hidden="0" customHeight="1">
      <x:c r="B85" s="50"/>
      <x:c r="I85" s="42"/>
      <x:c r="J85" s="44"/>
      <x:c r="K85" s="42" t="n">
        <x:f>IFERROR(I85*J85,0)</x:f>
        <x:v>0</x:v>
      </x:c>
      <x:c r="M85" s="50"/>
    </x:row>
    <x:row r="86" ht="15" hidden="0" customHeight="1">
      <x:c r="B86" s="50"/>
      <x:c r="I86" s="42"/>
      <x:c r="J86" s="44"/>
      <x:c r="K86" s="42" t="n">
        <x:f>IFERROR(I86*J86,0)</x:f>
        <x:v>0</x:v>
      </x:c>
      <x:c r="M86" s="50"/>
    </x:row>
    <x:row r="87" ht="15" hidden="0" customHeight="1">
      <x:c r="B87" s="50"/>
      <x:c r="I87" s="42"/>
      <x:c r="J87" s="44"/>
      <x:c r="K87" s="42" t="n">
        <x:f>IFERROR(I87*J87,0)</x:f>
        <x:v>0</x:v>
      </x:c>
      <x:c r="M87" s="50"/>
    </x:row>
    <x:row r="88" ht="15" hidden="0" customHeight="1">
      <x:c r="B88" s="50"/>
      <x:c r="I88" s="42"/>
      <x:c r="J88" s="44"/>
      <x:c r="K88" s="42" t="n">
        <x:f>IFERROR(I88*J88,0)</x:f>
        <x:v>0</x:v>
      </x:c>
      <x:c r="M88" s="50"/>
    </x:row>
    <x:row r="89" ht="15" hidden="0" customHeight="1">
      <x:c r="B89" s="50"/>
      <x:c r="I89" s="42"/>
      <x:c r="J89" s="44"/>
      <x:c r="K89" s="42" t="n">
        <x:f>IFERROR(I89*J89,0)</x:f>
        <x:v>0</x:v>
      </x:c>
      <x:c r="M89" s="50"/>
    </x:row>
    <x:row r="90" ht="15" hidden="0" customHeight="1">
      <x:c r="B90" s="50"/>
      <x:c r="I90" s="42"/>
      <x:c r="J90" s="44"/>
      <x:c r="K90" s="42" t="n">
        <x:f>IFERROR(I90*J90,0)</x:f>
        <x:v>0</x:v>
      </x:c>
      <x:c r="M90" s="50"/>
    </x:row>
    <x:row r="91" ht="15" hidden="0" customHeight="1">
      <x:c r="B91" s="50"/>
      <x:c r="I91" s="42"/>
      <x:c r="J91" s="44"/>
      <x:c r="K91" s="42" t="n">
        <x:f>IFERROR(I91*J91,0)</x:f>
        <x:v>0</x:v>
      </x:c>
      <x:c r="M91" s="50"/>
    </x:row>
    <x:row r="92" ht="15" hidden="0" customHeight="1">
      <x:c r="B92" s="50"/>
      <x:c r="I92" s="42"/>
      <x:c r="J92" s="44"/>
      <x:c r="K92" s="42" t="n">
        <x:f>IFERROR(I92*J92,0)</x:f>
        <x:v>0</x:v>
      </x:c>
      <x:c r="M92" s="50"/>
    </x:row>
    <x:row r="93" ht="15" hidden="0" customHeight="1">
      <x:c r="B93" s="50"/>
      <x:c r="I93" s="42"/>
      <x:c r="J93" s="44"/>
      <x:c r="K93" s="42" t="n">
        <x:f>IFERROR(I93*J93,0)</x:f>
        <x:v>0</x:v>
      </x:c>
      <x:c r="M93" s="50"/>
    </x:row>
    <x:row r="94" ht="15" hidden="0" customHeight="1">
      <x:c r="B94" s="50"/>
      <x:c r="I94" s="42"/>
      <x:c r="J94" s="44"/>
      <x:c r="K94" s="42" t="n">
        <x:f>IFERROR(I94*J94,0)</x:f>
        <x:v>0</x:v>
      </x:c>
      <x:c r="M94" s="50"/>
    </x:row>
    <x:row r="95" ht="15" hidden="0" customHeight="1">
      <x:c r="B95" s="50"/>
      <x:c r="I95" s="42"/>
      <x:c r="J95" s="44"/>
      <x:c r="K95" s="42" t="n">
        <x:f>IFERROR(I95*J95,0)</x:f>
        <x:v>0</x:v>
      </x:c>
      <x:c r="M95" s="50"/>
    </x:row>
    <x:row r="96" ht="15" hidden="0" customHeight="1">
      <x:c r="B96" s="50"/>
      <x:c r="I96" s="42"/>
      <x:c r="J96" s="44"/>
      <x:c r="K96" s="42" t="n">
        <x:f>IFERROR(I96*J96,0)</x:f>
        <x:v>0</x:v>
      </x:c>
      <x:c r="M96" s="50"/>
    </x:row>
    <x:row r="97" ht="15" hidden="0" customHeight="1">
      <x:c r="B97" s="50"/>
      <x:c r="I97" s="42"/>
      <x:c r="J97" s="44"/>
      <x:c r="K97" s="42" t="n">
        <x:f>IFERROR(I97*J97,0)</x:f>
        <x:v>0</x:v>
      </x:c>
      <x:c r="M97" s="50"/>
    </x:row>
    <x:row r="98" ht="15" hidden="0" customHeight="1">
      <x:c r="B98" s="50"/>
      <x:c r="I98" s="42"/>
      <x:c r="J98" s="44"/>
      <x:c r="K98" s="42" t="n">
        <x:f>IFERROR(I98*J98,0)</x:f>
        <x:v>0</x:v>
      </x:c>
      <x:c r="M98" s="50"/>
    </x:row>
    <x:row r="99" ht="15" hidden="0" customHeight="1">
      <x:c r="B99" s="50"/>
      <x:c r="I99" s="42"/>
      <x:c r="J99" s="44"/>
      <x:c r="K99" s="42" t="n">
        <x:f>IFERROR(I99*J99,0)</x:f>
        <x:v>0</x:v>
      </x:c>
      <x:c r="M99" s="50"/>
    </x:row>
    <x:row r="100" ht="15" hidden="0" customHeight="1">
      <x:c r="B100" s="50"/>
      <x:c r="I100" s="42"/>
      <x:c r="J100" s="44"/>
      <x:c r="K100" s="42" t="n">
        <x:f>IFERROR(I100*J100,0)</x:f>
        <x:v>0</x:v>
      </x:c>
      <x:c r="M100" s="50"/>
    </x:row>
    <x:row r="101" ht="15" hidden="0" customHeight="1">
      <x:c r="B101" s="50"/>
      <x:c r="I101" s="42"/>
      <x:c r="J101" s="44"/>
      <x:c r="K101" s="42" t="n">
        <x:f>IFERROR(I101*J101,0)</x:f>
        <x:v>0</x:v>
      </x:c>
      <x:c r="M101" s="50"/>
    </x:row>
    <x:row r="102" ht="15" hidden="0" customHeight="1">
      <x:c r="B102" s="50"/>
      <x:c r="I102" s="42"/>
      <x:c r="J102" s="44"/>
      <x:c r="K102" s="42" t="n">
        <x:f>IFERROR(I102*J102,0)</x:f>
        <x:v>0</x:v>
      </x:c>
      <x:c r="M102" s="50"/>
    </x:row>
    <x:row r="103" ht="15" hidden="0" customHeight="1">
      <x:c r="B103" s="50"/>
      <x:c r="I103" s="42"/>
      <x:c r="J103" s="44"/>
      <x:c r="K103" s="42" t="n">
        <x:f>IFERROR(I103*J103,0)</x:f>
        <x:v>0</x:v>
      </x:c>
      <x:c r="M103" s="50"/>
    </x:row>
    <x:row r="104" ht="15" hidden="0" customHeight="1">
      <x:c r="B104" s="50"/>
      <x:c r="I104" s="42"/>
      <x:c r="J104" s="44"/>
      <x:c r="K104" s="42" t="n">
        <x:f>IFERROR(I104*J104,0)</x:f>
        <x:v>0</x:v>
      </x:c>
      <x:c r="M104" s="50"/>
    </x:row>
    <x:row r="105" ht="15" hidden="0" customHeight="1">
      <x:c r="B105" s="50"/>
      <x:c r="I105" s="42"/>
      <x:c r="J105" s="44"/>
      <x:c r="K105" s="42" t="n">
        <x:f>IFERROR(I105*J105,0)</x:f>
        <x:v>0</x:v>
      </x:c>
      <x:c r="M105" s="50"/>
    </x:row>
    <x:row r="106" ht="15" hidden="0" customHeight="1">
      <x:c r="B106" s="50"/>
      <x:c r="I106" s="42"/>
      <x:c r="J106" s="44"/>
      <x:c r="K106" s="42" t="n">
        <x:f>IFERROR(I106*J106,0)</x:f>
        <x:v>0</x:v>
      </x:c>
      <x:c r="M106" s="50"/>
    </x:row>
    <x:row r="107" ht="15" hidden="0" customHeight="1">
      <x:c r="B107" s="50"/>
      <x:c r="I107" s="42"/>
      <x:c r="J107" s="44"/>
      <x:c r="K107" s="42" t="n">
        <x:f>IFERROR(I107*J107,0)</x:f>
        <x:v>0</x:v>
      </x:c>
      <x:c r="M107" s="50"/>
    </x:row>
    <x:row r="108" ht="15" hidden="0" customHeight="1">
      <x:c r="B108" s="50"/>
      <x:c r="I108" s="42"/>
      <x:c r="J108" s="44"/>
      <x:c r="K108" s="42" t="n">
        <x:f>IFERROR(I108*J108,0)</x:f>
        <x:v>0</x:v>
      </x:c>
      <x:c r="M108" s="50"/>
    </x:row>
    <x:row r="109" ht="15" hidden="0" customHeight="1">
      <x:c r="B109" s="50"/>
      <x:c r="I109" s="42"/>
      <x:c r="J109" s="44"/>
      <x:c r="K109" s="42" t="n">
        <x:f>IFERROR(I109*J109,0)</x:f>
        <x:v>0</x:v>
      </x:c>
      <x:c r="M109" s="50"/>
    </x:row>
    <x:row r="110" ht="15" hidden="0" customHeight="1">
      <x:c r="B110" s="50"/>
      <x:c r="I110" s="42"/>
      <x:c r="J110" s="44"/>
      <x:c r="K110" s="42" t="n">
        <x:f>IFERROR(I110*J110,0)</x:f>
        <x:v>0</x:v>
      </x:c>
      <x:c r="M110" s="50"/>
    </x:row>
    <x:row r="111" ht="15" hidden="0" customHeight="1">
      <x:c r="B111" s="50"/>
      <x:c r="I111" s="42"/>
      <x:c r="J111" s="44"/>
      <x:c r="K111" s="42" t="n">
        <x:f>IFERROR(I111*J111,0)</x:f>
        <x:v>0</x:v>
      </x:c>
      <x:c r="M111" s="50"/>
    </x:row>
    <x:row r="112" ht="15" hidden="0" customHeight="1">
      <x:c r="B112" s="50"/>
      <x:c r="I112" s="42"/>
      <x:c r="J112" s="44"/>
      <x:c r="K112" s="42" t="n">
        <x:f>IFERROR(I112*J112,0)</x:f>
        <x:v>0</x:v>
      </x:c>
      <x:c r="M112" s="50"/>
    </x:row>
    <x:row r="113" ht="15" hidden="0" customHeight="1">
      <x:c r="B113" s="50"/>
      <x:c r="I113" s="42"/>
      <x:c r="J113" s="44"/>
      <x:c r="K113" s="42" t="n">
        <x:f>IFERROR(I113*J113,0)</x:f>
        <x:v>0</x:v>
      </x:c>
      <x:c r="M113" s="50"/>
    </x:row>
    <x:row r="114" ht="15" hidden="0" customHeight="1">
      <x:c r="B114" s="50"/>
      <x:c r="I114" s="42"/>
      <x:c r="J114" s="44"/>
      <x:c r="K114" s="42" t="n">
        <x:f>IFERROR(I114*J114,0)</x:f>
        <x:v>0</x:v>
      </x:c>
      <x:c r="M114" s="50"/>
    </x:row>
    <x:row r="115" ht="15" hidden="0" customHeight="1">
      <x:c r="B115" s="50"/>
      <x:c r="I115" s="42"/>
      <x:c r="J115" s="44"/>
      <x:c r="K115" s="42" t="n">
        <x:f>IFERROR(I115*J115,0)</x:f>
        <x:v>0</x:v>
      </x:c>
      <x:c r="M115" s="50"/>
    </x:row>
    <x:row r="116" ht="15" hidden="0" customHeight="1">
      <x:c r="B116" s="50"/>
      <x:c r="I116" s="42"/>
      <x:c r="J116" s="44"/>
      <x:c r="K116" s="42" t="n">
        <x:f>IFERROR(I116*J116,0)</x:f>
        <x:v>0</x:v>
      </x:c>
      <x:c r="M116" s="50"/>
    </x:row>
    <x:row r="117" ht="15" hidden="0" customHeight="1">
      <x:c r="B117" s="50"/>
      <x:c r="I117" s="42"/>
      <x:c r="J117" s="44"/>
      <x:c r="K117" s="42" t="n">
        <x:f>IFERROR(I117*J117,0)</x:f>
        <x:v>0</x:v>
      </x:c>
      <x:c r="M117" s="50"/>
    </x:row>
    <x:row r="118" ht="15" hidden="0" customHeight="1">
      <x:c r="B118" s="50"/>
      <x:c r="I118" s="42"/>
      <x:c r="J118" s="44"/>
      <x:c r="K118" s="42" t="n">
        <x:f>IFERROR(I118*J118,0)</x:f>
        <x:v>0</x:v>
      </x:c>
      <x:c r="M118" s="50"/>
    </x:row>
    <x:row r="119" ht="15" hidden="0" customHeight="1">
      <x:c r="B119" s="50"/>
      <x:c r="I119" s="42"/>
      <x:c r="J119" s="44"/>
      <x:c r="K119" s="42" t="n">
        <x:f>IFERROR(I119*J119,0)</x:f>
        <x:v>0</x:v>
      </x:c>
      <x:c r="M119" s="50"/>
    </x:row>
    <x:row r="120" ht="15" hidden="0" customHeight="1">
      <x:c r="B120" s="50"/>
      <x:c r="I120" s="42"/>
      <x:c r="J120" s="44"/>
      <x:c r="K120" s="42" t="n">
        <x:f>IFERROR(I120*J120,0)</x:f>
        <x:v>0</x:v>
      </x:c>
      <x:c r="M120" s="50"/>
    </x:row>
    <x:row r="121" ht="15" hidden="0" customHeight="1">
      <x:c r="B121" s="50"/>
      <x:c r="I121" s="42"/>
      <x:c r="J121" s="44"/>
      <x:c r="K121" s="42" t="n">
        <x:f>IFERROR(I121*J121,0)</x:f>
        <x:v>0</x:v>
      </x:c>
      <x:c r="M121" s="50"/>
    </x:row>
    <x:row r="122" ht="15" hidden="0" customHeight="1">
      <x:c r="B122" s="50"/>
      <x:c r="I122" s="42"/>
      <x:c r="J122" s="44"/>
      <x:c r="K122" s="42" t="n">
        <x:f>IFERROR(I122*J122,0)</x:f>
        <x:v>0</x:v>
      </x:c>
      <x:c r="M122" s="50"/>
    </x:row>
    <x:row r="123" ht="15" hidden="0" customHeight="1">
      <x:c r="B123" s="50"/>
      <x:c r="I123" s="42"/>
      <x:c r="J123" s="44"/>
      <x:c r="K123" s="42" t="n">
        <x:f>IFERROR(I123*J123,0)</x:f>
        <x:v>0</x:v>
      </x:c>
      <x:c r="M123" s="50"/>
    </x:row>
    <x:row r="124" ht="15" hidden="0" customHeight="1">
      <x:c r="B124" s="50"/>
      <x:c r="I124" s="42"/>
      <x:c r="J124" s="44"/>
      <x:c r="K124" s="42" t="n">
        <x:f>IFERROR(I124*J124,0)</x:f>
        <x:v>0</x:v>
      </x:c>
      <x:c r="M124" s="50"/>
    </x:row>
    <x:row r="125" ht="15" hidden="0" customHeight="1">
      <x:c r="B125" s="50"/>
      <x:c r="I125" s="42"/>
      <x:c r="J125" s="44"/>
      <x:c r="K125" s="42" t="n">
        <x:f>IFERROR(I125*J125,0)</x:f>
        <x:v>0</x:v>
      </x:c>
      <x:c r="M125" s="50"/>
    </x:row>
    <x:row r="126" ht="15" hidden="0" customHeight="1">
      <x:c r="B126" s="50"/>
      <x:c r="I126" s="42"/>
      <x:c r="J126" s="44"/>
      <x:c r="K126" s="42" t="n">
        <x:f>IFERROR(I126*J126,0)</x:f>
        <x:v>0</x:v>
      </x:c>
      <x:c r="M126" s="50"/>
    </x:row>
    <x:row r="127" ht="15" hidden="0" customHeight="1">
      <x:c r="B127" s="50"/>
      <x:c r="I127" s="42"/>
      <x:c r="J127" s="44"/>
      <x:c r="K127" s="42" t="n">
        <x:f>IFERROR(I127*J127,0)</x:f>
        <x:v>0</x:v>
      </x:c>
      <x:c r="M127" s="50"/>
    </x:row>
    <x:row r="128" ht="15" hidden="0" customHeight="1">
      <x:c r="B128" s="50"/>
      <x:c r="I128" s="42"/>
      <x:c r="J128" s="44"/>
      <x:c r="K128" s="42" t="n">
        <x:f>IFERROR(I128*J128,0)</x:f>
        <x:v>0</x:v>
      </x:c>
      <x:c r="M128" s="50"/>
    </x:row>
    <x:row r="129" ht="15" hidden="0" customHeight="1">
      <x:c r="B129" s="50"/>
      <x:c r="I129" s="42"/>
      <x:c r="J129" s="44"/>
      <x:c r="K129" s="42" t="n">
        <x:f>IFERROR(I129*J129,0)</x:f>
        <x:v>0</x:v>
      </x:c>
      <x:c r="M129" s="50"/>
    </x:row>
    <x:row r="130" ht="15" hidden="0" customHeight="1">
      <x:c r="B130" s="50"/>
      <x:c r="I130" s="42"/>
      <x:c r="J130" s="44"/>
      <x:c r="K130" s="42" t="n">
        <x:f>IFERROR(I130*J130,0)</x:f>
        <x:v>0</x:v>
      </x:c>
      <x:c r="M130" s="50"/>
    </x:row>
    <x:row r="131" ht="15" hidden="0" customHeight="1">
      <x:c r="B131" s="50"/>
      <x:c r="I131" s="42"/>
      <x:c r="J131" s="44"/>
      <x:c r="K131" s="42" t="n">
        <x:f>IFERROR(I131*J131,0)</x:f>
        <x:v>0</x:v>
      </x:c>
      <x:c r="M131" s="50"/>
    </x:row>
    <x:row r="132" ht="15" hidden="0" customHeight="1">
      <x:c r="B132" s="50"/>
      <x:c r="I132" s="42"/>
      <x:c r="J132" s="44"/>
      <x:c r="K132" s="42" t="n">
        <x:f>IFERROR(I132*J132,0)</x:f>
        <x:v>0</x:v>
      </x:c>
      <x:c r="M132" s="50"/>
    </x:row>
    <x:row r="133" ht="15" hidden="0" customHeight="1">
      <x:c r="B133" s="50"/>
      <x:c r="I133" s="42"/>
      <x:c r="J133" s="44"/>
      <x:c r="K133" s="42" t="n">
        <x:f>IFERROR(I133*J133,0)</x:f>
        <x:v>0</x:v>
      </x:c>
      <x:c r="M133" s="50"/>
    </x:row>
    <x:row r="134" ht="15" hidden="0" customHeight="1">
      <x:c r="B134" s="50"/>
      <x:c r="I134" s="42"/>
      <x:c r="J134" s="44"/>
      <x:c r="K134" s="42" t="n">
        <x:f>IFERROR(I134*J134,0)</x:f>
        <x:v>0</x:v>
      </x:c>
      <x:c r="M134" s="50"/>
    </x:row>
    <x:row r="135" ht="15" hidden="0" customHeight="1">
      <x:c r="B135" s="50"/>
      <x:c r="I135" s="42"/>
      <x:c r="J135" s="44"/>
      <x:c r="K135" s="42" t="n">
        <x:f>IFERROR(I135*J135,0)</x:f>
        <x:v>0</x:v>
      </x:c>
      <x:c r="M135" s="50"/>
    </x:row>
    <x:row r="136" ht="15" hidden="0" customHeight="1">
      <x:c r="B136" s="50"/>
      <x:c r="I136" s="42"/>
      <x:c r="J136" s="44"/>
      <x:c r="K136" s="42" t="n">
        <x:f>IFERROR(I136*J136,0)</x:f>
        <x:v>0</x:v>
      </x:c>
      <x:c r="M136" s="50"/>
    </x:row>
    <x:row r="137" ht="15" hidden="0" customHeight="1">
      <x:c r="B137" s="50"/>
      <x:c r="I137" s="42"/>
      <x:c r="J137" s="44"/>
      <x:c r="K137" s="42" t="n">
        <x:f>IFERROR(I137*J137,0)</x:f>
        <x:v>0</x:v>
      </x:c>
      <x:c r="M137" s="50"/>
    </x:row>
    <x:row r="138" ht="15" hidden="0" customHeight="1">
      <x:c r="B138" s="50"/>
      <x:c r="I138" s="42"/>
      <x:c r="J138" s="44"/>
      <x:c r="K138" s="42" t="n">
        <x:f>IFERROR(I138*J138,0)</x:f>
        <x:v>0</x:v>
      </x:c>
      <x:c r="M138" s="50"/>
    </x:row>
    <x:row r="139" ht="15" hidden="0" customHeight="1">
      <x:c r="B139" s="50"/>
      <x:c r="I139" s="42"/>
      <x:c r="J139" s="44"/>
      <x:c r="K139" s="42" t="n">
        <x:f>IFERROR(I139*J139,0)</x:f>
        <x:v>0</x:v>
      </x:c>
      <x:c r="M139" s="50"/>
    </x:row>
    <x:row r="140" ht="15" hidden="0" customHeight="1">
      <x:c r="B140" s="50"/>
      <x:c r="I140" s="42"/>
      <x:c r="J140" s="44"/>
      <x:c r="K140" s="42" t="n">
        <x:f>IFERROR(I140*J140,0)</x:f>
        <x:v>0</x:v>
      </x:c>
      <x:c r="M140" s="50"/>
    </x:row>
    <x:row r="141" ht="15" hidden="0" customHeight="1">
      <x:c r="B141" s="50"/>
      <x:c r="I141" s="42"/>
      <x:c r="J141" s="44"/>
      <x:c r="K141" s="42" t="n">
        <x:f>IFERROR(I141*J141,0)</x:f>
        <x:v>0</x:v>
      </x:c>
      <x:c r="M141" s="50"/>
    </x:row>
    <x:row r="142" ht="15" hidden="0" customHeight="1">
      <x:c r="B142" s="50"/>
      <x:c r="I142" s="42"/>
      <x:c r="J142" s="44"/>
      <x:c r="K142" s="42" t="n">
        <x:f>IFERROR(I142*J142,0)</x:f>
        <x:v>0</x:v>
      </x:c>
      <x:c r="M142" s="50"/>
    </x:row>
    <x:row r="143" ht="15" hidden="0" customHeight="1">
      <x:c r="B143" s="50"/>
      <x:c r="I143" s="42"/>
      <x:c r="J143" s="44"/>
      <x:c r="K143" s="42" t="n">
        <x:f>IFERROR(I143*J143,0)</x:f>
        <x:v>0</x:v>
      </x:c>
      <x:c r="M143" s="50"/>
    </x:row>
    <x:row r="144" ht="15" hidden="0" customHeight="1">
      <x:c r="B144" s="50"/>
      <x:c r="I144" s="42"/>
      <x:c r="J144" s="44"/>
      <x:c r="K144" s="42" t="n">
        <x:f>IFERROR(I144*J144,0)</x:f>
        <x:v>0</x:v>
      </x:c>
      <x:c r="M144" s="50"/>
    </x:row>
    <x:row r="145" ht="15" hidden="0" customHeight="1">
      <x:c r="B145" s="50"/>
      <x:c r="I145" s="42"/>
      <x:c r="J145" s="44"/>
      <x:c r="K145" s="42" t="n">
        <x:f>IFERROR(I145*J145,0)</x:f>
        <x:v>0</x:v>
      </x:c>
      <x:c r="M145" s="50"/>
    </x:row>
    <x:row r="146" ht="15" hidden="0" customHeight="1">
      <x:c r="B146" s="50"/>
      <x:c r="I146" s="42"/>
      <x:c r="J146" s="44"/>
      <x:c r="K146" s="42" t="n">
        <x:f>IFERROR(I146*J146,0)</x:f>
        <x:v>0</x:v>
      </x:c>
      <x:c r="M146" s="50"/>
    </x:row>
    <x:row r="147" ht="15" hidden="0" customHeight="1">
      <x:c r="B147" s="50"/>
      <x:c r="I147" s="42"/>
      <x:c r="J147" s="44"/>
      <x:c r="K147" s="42" t="n">
        <x:f>IFERROR(I147*J147,0)</x:f>
        <x:v>0</x:v>
      </x:c>
      <x:c r="M147" s="50"/>
    </x:row>
    <x:row r="148" ht="15" hidden="0" customHeight="1">
      <x:c r="B148" s="50"/>
      <x:c r="I148" s="42"/>
      <x:c r="J148" s="44"/>
      <x:c r="K148" s="42" t="n">
        <x:f>IFERROR(I148*J148,0)</x:f>
        <x:v>0</x:v>
      </x:c>
      <x:c r="M148" s="50"/>
    </x:row>
    <x:row r="149" ht="15" hidden="0" customHeight="1">
      <x:c r="B149" s="50"/>
      <x:c r="I149" s="42"/>
      <x:c r="J149" s="44"/>
      <x:c r="K149" s="42" t="n">
        <x:f>IFERROR(I149*J149,0)</x:f>
        <x:v>0</x:v>
      </x:c>
      <x:c r="M149" s="50"/>
    </x:row>
    <x:row r="150" ht="15" hidden="0" customHeight="1">
      <x:c r="B150" s="50"/>
      <x:c r="I150" s="42"/>
      <x:c r="J150" s="44"/>
      <x:c r="K150" s="42" t="n">
        <x:f>IFERROR(I150*J150,0)</x:f>
        <x:v>0</x:v>
      </x:c>
      <x:c r="M150" s="50"/>
    </x:row>
    <x:row r="151" ht="15" hidden="0" customHeight="1">
      <x:c r="B151" s="50"/>
      <x:c r="I151" s="42"/>
      <x:c r="J151" s="44"/>
      <x:c r="K151" s="42" t="n">
        <x:f>IFERROR(I151*J151,0)</x:f>
        <x:v>0</x:v>
      </x:c>
      <x:c r="M151" s="50"/>
    </x:row>
    <x:row r="152" ht="15" hidden="0" customHeight="1">
      <x:c r="B152" s="50"/>
      <x:c r="I152" s="42"/>
      <x:c r="J152" s="44"/>
      <x:c r="K152" s="42" t="n">
        <x:f>IFERROR(I152*J152,0)</x:f>
        <x:v>0</x:v>
      </x:c>
      <x:c r="M152" s="50"/>
    </x:row>
    <x:row r="153" ht="15" hidden="0" customHeight="1">
      <x:c r="B153" s="50"/>
      <x:c r="I153" s="42"/>
      <x:c r="J153" s="44"/>
      <x:c r="K153" s="42" t="n">
        <x:f>IFERROR(I153*J153,0)</x:f>
        <x:v>0</x:v>
      </x:c>
      <x:c r="M153" s="50"/>
    </x:row>
    <x:row r="154" ht="15" hidden="0" customHeight="1">
      <x:c r="B154" s="50"/>
      <x:c r="I154" s="42"/>
      <x:c r="J154" s="44"/>
      <x:c r="K154" s="42" t="n">
        <x:f>IFERROR(I154*J154,0)</x:f>
        <x:v>0</x:v>
      </x:c>
      <x:c r="M154" s="50"/>
    </x:row>
    <x:row r="155" ht="15" hidden="0" customHeight="1">
      <x:c r="B155" s="50"/>
      <x:c r="I155" s="42"/>
      <x:c r="J155" s="44"/>
      <x:c r="K155" s="42" t="n">
        <x:f>IFERROR(I155*J155,0)</x:f>
        <x:v>0</x:v>
      </x:c>
      <x:c r="M155" s="50"/>
    </x:row>
    <x:row r="156" ht="15" hidden="0" customHeight="1">
      <x:c r="B156" s="50"/>
      <x:c r="I156" s="42"/>
      <x:c r="J156" s="44"/>
      <x:c r="K156" s="42" t="n">
        <x:f>IFERROR(I156*J156,0)</x:f>
        <x:v>0</x:v>
      </x:c>
      <x:c r="M156" s="50"/>
    </x:row>
    <x:row r="157" ht="15" hidden="0" customHeight="1">
      <x:c r="B157" s="50"/>
      <x:c r="I157" s="42"/>
      <x:c r="J157" s="44"/>
      <x:c r="K157" s="42" t="n">
        <x:f>IFERROR(I157*J157,0)</x:f>
        <x:v>0</x:v>
      </x:c>
      <x:c r="M157" s="50"/>
    </x:row>
    <x:row r="158" ht="15" hidden="0" customHeight="1">
      <x:c r="B158" s="50"/>
      <x:c r="I158" s="42"/>
      <x:c r="J158" s="44"/>
      <x:c r="K158" s="42" t="n">
        <x:f>IFERROR(I158*J158,0)</x:f>
        <x:v>0</x:v>
      </x:c>
      <x:c r="M158" s="50"/>
    </x:row>
    <x:row r="159" ht="15" hidden="0" customHeight="1">
      <x:c r="B159" s="50"/>
      <x:c r="I159" s="42"/>
      <x:c r="J159" s="44"/>
      <x:c r="K159" s="42" t="n">
        <x:f>IFERROR(I159*J159,0)</x:f>
        <x:v>0</x:v>
      </x:c>
      <x:c r="M159" s="50"/>
    </x:row>
    <x:row r="160" ht="15" hidden="0" customHeight="1">
      <x:c r="B160" s="50"/>
      <x:c r="I160" s="42"/>
      <x:c r="J160" s="44"/>
      <x:c r="K160" s="42" t="n">
        <x:f>IFERROR(I160*J160,0)</x:f>
        <x:v>0</x:v>
      </x:c>
      <x:c r="M160" s="50"/>
    </x:row>
    <x:row r="161" ht="15" hidden="0" customHeight="1">
      <x:c r="B161" s="50"/>
      <x:c r="I161" s="42"/>
      <x:c r="J161" s="44"/>
      <x:c r="K161" s="42" t="n">
        <x:f>IFERROR(I161*J161,0)</x:f>
        <x:v>0</x:v>
      </x:c>
      <x:c r="M161" s="50"/>
    </x:row>
    <x:row r="162" ht="15" hidden="0" customHeight="1">
      <x:c r="B162" s="50"/>
      <x:c r="I162" s="42"/>
      <x:c r="J162" s="44"/>
      <x:c r="K162" s="42" t="n">
        <x:f>IFERROR(I162*J162,0)</x:f>
        <x:v>0</x:v>
      </x:c>
      <x:c r="M162" s="50"/>
    </x:row>
    <x:row r="163" ht="15" hidden="0" customHeight="1">
      <x:c r="B163" s="50"/>
      <x:c r="I163" s="42"/>
      <x:c r="J163" s="44"/>
      <x:c r="K163" s="42" t="n">
        <x:f>IFERROR(I163*J163,0)</x:f>
        <x:v>0</x:v>
      </x:c>
      <x:c r="M163" s="50"/>
    </x:row>
    <x:row r="164" ht="15" hidden="0" customHeight="1">
      <x:c r="B164" s="50"/>
      <x:c r="I164" s="42"/>
      <x:c r="J164" s="44"/>
      <x:c r="K164" s="42" t="n">
        <x:f>IFERROR(I164*J164,0)</x:f>
        <x:v>0</x:v>
      </x:c>
      <x:c r="M164" s="50"/>
    </x:row>
    <x:row r="165" ht="15" hidden="0" customHeight="1">
      <x:c r="B165" s="50"/>
      <x:c r="I165" s="42"/>
      <x:c r="J165" s="44"/>
      <x:c r="K165" s="42" t="n">
        <x:f>IFERROR(I165*J165,0)</x:f>
        <x:v>0</x:v>
      </x:c>
      <x:c r="M165" s="50"/>
    </x:row>
    <x:row r="166" ht="15" hidden="0" customHeight="1">
      <x:c r="B166" s="50"/>
      <x:c r="I166" s="42"/>
      <x:c r="J166" s="44"/>
      <x:c r="K166" s="42" t="n">
        <x:f>IFERROR(I166*J166,0)</x:f>
        <x:v>0</x:v>
      </x:c>
      <x:c r="M166" s="50"/>
    </x:row>
    <x:row r="167" ht="15" hidden="0" customHeight="1">
      <x:c r="B167" s="50"/>
      <x:c r="I167" s="42"/>
      <x:c r="J167" s="44"/>
      <x:c r="K167" s="42" t="n">
        <x:f>IFERROR(I167*J167,0)</x:f>
        <x:v>0</x:v>
      </x:c>
      <x:c r="M167" s="50"/>
    </x:row>
    <x:row r="168" ht="15" hidden="0" customHeight="1">
      <x:c r="B168" s="50"/>
      <x:c r="I168" s="42"/>
      <x:c r="J168" s="44"/>
      <x:c r="K168" s="42" t="n">
        <x:f>IFERROR(I168*J168,0)</x:f>
        <x:v>0</x:v>
      </x:c>
      <x:c r="M168" s="50"/>
    </x:row>
    <x:row r="169" ht="15" hidden="0" customHeight="1">
      <x:c r="B169" s="50"/>
      <x:c r="I169" s="42"/>
      <x:c r="J169" s="44"/>
      <x:c r="K169" s="42" t="n">
        <x:f>IFERROR(I169*J169,0)</x:f>
        <x:v>0</x:v>
      </x:c>
      <x:c r="M169" s="50"/>
    </x:row>
    <x:row r="170" ht="15" hidden="0" customHeight="1">
      <x:c r="B170" s="50"/>
      <x:c r="I170" s="42"/>
      <x:c r="J170" s="44"/>
      <x:c r="K170" s="42" t="n">
        <x:f>IFERROR(I170*J170,0)</x:f>
        <x:v>0</x:v>
      </x:c>
      <x:c r="M170" s="50"/>
    </x:row>
    <x:row r="171" ht="15" hidden="0" customHeight="1">
      <x:c r="B171" s="50"/>
      <x:c r="I171" s="42"/>
      <x:c r="J171" s="44"/>
      <x:c r="K171" s="42" t="n">
        <x:f>IFERROR(I171*J171,0)</x:f>
        <x:v>0</x:v>
      </x:c>
      <x:c r="M171" s="50"/>
    </x:row>
    <x:row r="172" ht="15" hidden="0" customHeight="1">
      <x:c r="B172" s="50"/>
      <x:c r="I172" s="42"/>
      <x:c r="J172" s="44"/>
      <x:c r="K172" s="42" t="n">
        <x:f>IFERROR(I172*J172,0)</x:f>
        <x:v>0</x:v>
      </x:c>
      <x:c r="M172" s="50"/>
    </x:row>
    <x:row r="173" ht="15" hidden="0" customHeight="1">
      <x:c r="B173" s="50"/>
      <x:c r="I173" s="42"/>
      <x:c r="J173" s="44"/>
      <x:c r="K173" s="42" t="n">
        <x:f>IFERROR(I173*J173,0)</x:f>
        <x:v>0</x:v>
      </x:c>
      <x:c r="M173" s="50"/>
    </x:row>
    <x:row r="174" ht="15" hidden="0" customHeight="1">
      <x:c r="B174" s="50"/>
      <x:c r="I174" s="42"/>
      <x:c r="J174" s="44"/>
      <x:c r="K174" s="42" t="n">
        <x:f>IFERROR(I174*J174,0)</x:f>
        <x:v>0</x:v>
      </x:c>
      <x:c r="M174" s="50"/>
    </x:row>
    <x:row r="175" ht="15" hidden="0" customHeight="1">
      <x:c r="B175" s="50"/>
      <x:c r="I175" s="42"/>
      <x:c r="J175" s="44"/>
      <x:c r="K175" s="42" t="n">
        <x:f>IFERROR(I175*J175,0)</x:f>
        <x:v>0</x:v>
      </x:c>
      <x:c r="M175" s="50"/>
    </x:row>
    <x:row r="176" ht="15" hidden="0" customHeight="1">
      <x:c r="B176" s="50"/>
      <x:c r="I176" s="42"/>
      <x:c r="J176" s="44"/>
      <x:c r="K176" s="42" t="n">
        <x:f>IFERROR(I176*J176,0)</x:f>
        <x:v>0</x:v>
      </x:c>
      <x:c r="M176" s="50"/>
    </x:row>
    <x:row r="177" ht="15" hidden="0" customHeight="1">
      <x:c r="B177" s="50"/>
      <x:c r="I177" s="42"/>
      <x:c r="J177" s="44"/>
      <x:c r="K177" s="42" t="n">
        <x:f>IFERROR(I177*J177,0)</x:f>
        <x:v>0</x:v>
      </x:c>
      <x:c r="M177" s="50"/>
    </x:row>
    <x:row r="178" ht="15" hidden="0" customHeight="1">
      <x:c r="B178" s="50"/>
      <x:c r="I178" s="42"/>
      <x:c r="J178" s="44"/>
      <x:c r="K178" s="42" t="n">
        <x:f>IFERROR(I178*J178,0)</x:f>
        <x:v>0</x:v>
      </x:c>
      <x:c r="M178" s="50"/>
    </x:row>
    <x:row r="179" ht="15" hidden="0" customHeight="1">
      <x:c r="B179" s="50"/>
      <x:c r="I179" s="42"/>
      <x:c r="J179" s="44"/>
      <x:c r="K179" s="42" t="n">
        <x:f>IFERROR(I179*J179,0)</x:f>
        <x:v>0</x:v>
      </x:c>
      <x:c r="M179" s="50"/>
    </x:row>
    <x:row r="180" ht="15" hidden="0" customHeight="1">
      <x:c r="B180" s="50"/>
      <x:c r="I180" s="42"/>
      <x:c r="J180" s="44"/>
      <x:c r="K180" s="42" t="n">
        <x:f>IFERROR(I180*J180,0)</x:f>
        <x:v>0</x:v>
      </x:c>
      <x:c r="M180" s="50"/>
    </x:row>
    <x:row r="181" ht="15" hidden="0" customHeight="1">
      <x:c r="B181" s="50"/>
      <x:c r="I181" s="42"/>
      <x:c r="J181" s="44"/>
      <x:c r="K181" s="42" t="n">
        <x:f>IFERROR(I181*J181,0)</x:f>
        <x:v>0</x:v>
      </x:c>
      <x:c r="M181" s="50"/>
    </x:row>
    <x:row r="182" ht="15" hidden="0" customHeight="1">
      <x:c r="B182" s="50"/>
      <x:c r="I182" s="42"/>
      <x:c r="J182" s="44"/>
      <x:c r="K182" s="42" t="n">
        <x:f>IFERROR(I182*J182,0)</x:f>
        <x:v>0</x:v>
      </x:c>
      <x:c r="M182" s="50"/>
    </x:row>
    <x:row r="183" ht="15" hidden="0" customHeight="1">
      <x:c r="B183" s="50"/>
      <x:c r="I183" s="42"/>
      <x:c r="J183" s="44"/>
      <x:c r="K183" s="42" t="n">
        <x:f>IFERROR(I183*J183,0)</x:f>
        <x:v>0</x:v>
      </x:c>
      <x:c r="M183" s="50"/>
    </x:row>
    <x:row r="184" ht="15" hidden="0" customHeight="1">
      <x:c r="B184" s="50"/>
      <x:c r="I184" s="42"/>
      <x:c r="J184" s="44"/>
      <x:c r="K184" s="42" t="n">
        <x:f>IFERROR(I184*J184,0)</x:f>
        <x:v>0</x:v>
      </x:c>
      <x:c r="M184" s="50"/>
    </x:row>
    <x:row r="185" ht="15" hidden="0" customHeight="1">
      <x:c r="B185" s="50"/>
      <x:c r="I185" s="42"/>
      <x:c r="J185" s="44"/>
      <x:c r="K185" s="42" t="n">
        <x:f>IFERROR(I185*J185,0)</x:f>
        <x:v>0</x:v>
      </x:c>
      <x:c r="M185" s="50"/>
    </x:row>
    <x:row r="186" ht="15" hidden="0" customHeight="1">
      <x:c r="B186" s="50"/>
      <x:c r="I186" s="42"/>
      <x:c r="J186" s="44"/>
      <x:c r="K186" s="42" t="n">
        <x:f>IFERROR(I186*J186,0)</x:f>
        <x:v>0</x:v>
      </x:c>
      <x:c r="M186" s="50"/>
    </x:row>
    <x:row r="187" ht="15" hidden="0" customHeight="1">
      <x:c r="B187" s="50"/>
      <x:c r="I187" s="42"/>
      <x:c r="J187" s="44"/>
      <x:c r="K187" s="42" t="n">
        <x:f>IFERROR(I187*J187,0)</x:f>
        <x:v>0</x:v>
      </x:c>
      <x:c r="M187" s="50"/>
    </x:row>
    <x:row r="188" ht="15" hidden="0" customHeight="1">
      <x:c r="B188" s="50"/>
      <x:c r="I188" s="42"/>
      <x:c r="J188" s="44"/>
      <x:c r="K188" s="42" t="n">
        <x:f>IFERROR(I188*J188,0)</x:f>
        <x:v>0</x:v>
      </x:c>
      <x:c r="M188" s="50"/>
    </x:row>
    <x:row r="189" ht="15" hidden="0" customHeight="1">
      <x:c r="B189" s="50"/>
      <x:c r="I189" s="42"/>
      <x:c r="J189" s="44"/>
      <x:c r="K189" s="42" t="n">
        <x:f>IFERROR(I189*J189,0)</x:f>
        <x:v>0</x:v>
      </x:c>
      <x:c r="M189" s="50"/>
    </x:row>
    <x:row r="190" ht="15" hidden="0" customHeight="1">
      <x:c r="B190" s="50"/>
      <x:c r="I190" s="42"/>
      <x:c r="J190" s="44"/>
      <x:c r="K190" s="42" t="n">
        <x:f>IFERROR(I190*J190,0)</x:f>
        <x:v>0</x:v>
      </x:c>
      <x:c r="M190" s="50"/>
    </x:row>
    <x:row r="191" ht="15" hidden="0" customHeight="1">
      <x:c r="B191" s="50"/>
      <x:c r="I191" s="42"/>
      <x:c r="J191" s="44"/>
      <x:c r="K191" s="42" t="n">
        <x:f>IFERROR(I191*J191,0)</x:f>
        <x:v>0</x:v>
      </x:c>
      <x:c r="M191" s="50"/>
    </x:row>
    <x:row r="192" ht="15" hidden="0" customHeight="1">
      <x:c r="B192" s="50"/>
      <x:c r="I192" s="42"/>
      <x:c r="J192" s="44"/>
      <x:c r="K192" s="42" t="n">
        <x:f>IFERROR(I192*J192,0)</x:f>
        <x:v>0</x:v>
      </x:c>
      <x:c r="M192" s="50"/>
    </x:row>
    <x:row r="193" ht="15" hidden="0" customHeight="1">
      <x:c r="B193" s="50"/>
      <x:c r="I193" s="42"/>
      <x:c r="J193" s="44"/>
      <x:c r="K193" s="42" t="n">
        <x:f>IFERROR(I193*J193,0)</x:f>
        <x:v>0</x:v>
      </x:c>
      <x:c r="M193" s="50"/>
    </x:row>
    <x:row r="194" ht="15" hidden="0" customHeight="1">
      <x:c r="B194" s="50"/>
      <x:c r="I194" s="42"/>
      <x:c r="J194" s="44"/>
      <x:c r="K194" s="42" t="n">
        <x:f>IFERROR(I194*J194,0)</x:f>
        <x:v>0</x:v>
      </x:c>
      <x:c r="M194" s="50"/>
    </x:row>
    <x:row r="195" ht="15" hidden="0" customHeight="1">
      <x:c r="B195" s="50"/>
      <x:c r="I195" s="42"/>
      <x:c r="J195" s="44"/>
      <x:c r="K195" s="42" t="n">
        <x:f>IFERROR(I195*J195,0)</x:f>
        <x:v>0</x:v>
      </x:c>
      <x:c r="M195" s="50"/>
    </x:row>
    <x:row r="196" ht="15" hidden="0" customHeight="1">
      <x:c r="B196" s="50"/>
      <x:c r="I196" s="42"/>
      <x:c r="J196" s="44"/>
      <x:c r="K196" s="42" t="n">
        <x:f>IFERROR(I196*J196,0)</x:f>
        <x:v>0</x:v>
      </x:c>
      <x:c r="M196" s="50"/>
    </x:row>
    <x:row r="197" ht="15" hidden="0" customHeight="1">
      <x:c r="B197" s="50"/>
      <x:c r="I197" s="42"/>
      <x:c r="J197" s="44"/>
      <x:c r="K197" s="42" t="n">
        <x:f>IFERROR(I197*J197,0)</x:f>
        <x:v>0</x:v>
      </x:c>
      <x:c r="M197" s="50"/>
    </x:row>
    <x:row r="198" ht="15" hidden="0" customHeight="1">
      <x:c r="B198" s="50"/>
      <x:c r="I198" s="42"/>
      <x:c r="J198" s="44"/>
      <x:c r="K198" s="42" t="n">
        <x:f>IFERROR(I198*J198,0)</x:f>
        <x:v>0</x:v>
      </x:c>
      <x:c r="M198" s="50"/>
    </x:row>
    <x:row r="199" ht="15" hidden="0" customHeight="1">
      <x:c r="B199" s="50"/>
      <x:c r="I199" s="42"/>
      <x:c r="J199" s="44"/>
      <x:c r="K199" s="42" t="n">
        <x:f>IFERROR(I199*J199,0)</x:f>
        <x:v>0</x:v>
      </x:c>
      <x:c r="M199" s="50"/>
    </x:row>
    <x:row r="200" ht="15" hidden="0" customHeight="1">
      <x:c r="B200" s="50"/>
      <x:c r="I200" s="42"/>
      <x:c r="J200" s="44"/>
      <x:c r="K200" s="42" t="n">
        <x:f>IFERROR(I200*J200,0)</x:f>
        <x:v>0</x:v>
      </x:c>
      <x:c r="M200" s="50"/>
    </x:row>
    <x:row r="201" ht="15" hidden="0" customHeight="1">
      <x:c r="B201" s="50"/>
      <x:c r="I201" s="42"/>
      <x:c r="J201" s="44"/>
      <x:c r="K201" s="42" t="n">
        <x:f>IFERROR(I201*J201,0)</x:f>
        <x:v>0</x:v>
      </x:c>
      <x:c r="M201" s="50"/>
    </x:row>
    <x:row r="202" ht="15" hidden="0" customHeight="1">
      <x:c r="B202" s="50"/>
      <x:c r="I202" s="42"/>
      <x:c r="J202" s="44"/>
      <x:c r="K202" s="42" t="n">
        <x:f>IFERROR(I202*J202,0)</x:f>
        <x:v>0</x:v>
      </x:c>
      <x:c r="M202" s="50"/>
    </x:row>
    <x:row r="203" ht="15" hidden="0" customHeight="1">
      <x:c r="B203" s="50"/>
      <x:c r="I203" s="42"/>
      <x:c r="J203" s="44"/>
      <x:c r="K203" s="42" t="n">
        <x:f>IFERROR(I203*J203,0)</x:f>
        <x:v>0</x:v>
      </x:c>
      <x:c r="M203" s="50"/>
    </x:row>
    <x:row r="204" ht="15" hidden="0" customHeight="1">
      <x:c r="B204" s="50"/>
      <x:c r="I204" s="42"/>
      <x:c r="J204" s="44"/>
      <x:c r="K204" s="42" t="n">
        <x:f>IFERROR(I204*J204,0)</x:f>
        <x:v>0</x:v>
      </x:c>
      <x:c r="M204" s="50"/>
    </x:row>
    <x:row r="205" ht="15" hidden="0" customHeight="1">
      <x:c r="B205" s="50"/>
      <x:c r="I205" s="42"/>
      <x:c r="J205" s="44"/>
      <x:c r="K205" s="42" t="n">
        <x:f>IFERROR(I205*J205,0)</x:f>
        <x:v>0</x:v>
      </x:c>
      <x:c r="M205" s="50"/>
    </x:row>
    <x:row r="206" ht="15" hidden="0" customHeight="1">
      <x:c r="B206" s="50"/>
      <x:c r="I206" s="42"/>
      <x:c r="J206" s="44"/>
      <x:c r="K206" s="42" t="n">
        <x:f>IFERROR(I206*J206,0)</x:f>
        <x:v>0</x:v>
      </x:c>
      <x:c r="M206" s="50"/>
    </x:row>
    <x:row r="207" ht="15" hidden="0" customHeight="1">
      <x:c r="B207" s="50"/>
      <x:c r="I207" s="42"/>
      <x:c r="J207" s="44"/>
      <x:c r="K207" s="42" t="n">
        <x:f>IFERROR(I207*J207,0)</x:f>
        <x:v>0</x:v>
      </x:c>
      <x:c r="M207" s="50"/>
    </x:row>
    <x:row r="208" ht="15" hidden="0" customHeight="1">
      <x:c r="B208" s="50"/>
      <x:c r="I208" s="42"/>
      <x:c r="J208" s="44"/>
      <x:c r="K208" s="42" t="n">
        <x:f>IFERROR(I208*J208,0)</x:f>
        <x:v>0</x:v>
      </x:c>
      <x:c r="M208" s="50"/>
    </x:row>
    <x:row r="209" ht="15" hidden="0" customHeight="1">
      <x:c r="B209" s="50"/>
      <x:c r="I209" s="42"/>
      <x:c r="J209" s="44"/>
      <x:c r="K209" s="42" t="n">
        <x:f>IFERROR(I209*J209,0)</x:f>
        <x:v>0</x:v>
      </x:c>
      <x:c r="M209" s="50"/>
    </x:row>
    <x:row r="210" ht="15" hidden="0" customHeight="1">
      <x:c r="B210" s="50"/>
      <x:c r="I210" s="42"/>
      <x:c r="J210" s="44"/>
      <x:c r="K210" s="42" t="n">
        <x:f>IFERROR(I210*J210,0)</x:f>
        <x:v>0</x:v>
      </x:c>
      <x:c r="M210" s="50"/>
    </x:row>
    <x:row r="211" ht="15" hidden="0" customHeight="1">
      <x:c r="B211" s="50"/>
      <x:c r="I211" s="42"/>
      <x:c r="J211" s="44"/>
      <x:c r="K211" s="42" t="n">
        <x:f>IFERROR(I211*J211,0)</x:f>
        <x:v>0</x:v>
      </x:c>
      <x:c r="M211" s="50"/>
    </x:row>
    <x:row r="212" ht="15" hidden="0" customHeight="1">
      <x:c r="B212" s="50"/>
      <x:c r="I212" s="42"/>
      <x:c r="J212" s="44"/>
      <x:c r="K212" s="42" t="n">
        <x:f>IFERROR(I212*J212,0)</x:f>
        <x:v>0</x:v>
      </x:c>
      <x:c r="M212" s="50"/>
    </x:row>
    <x:row r="213" ht="15" hidden="0" customHeight="1">
      <x:c r="B213" s="50"/>
      <x:c r="I213" s="42"/>
      <x:c r="J213" s="44"/>
      <x:c r="K213" s="42" t="n">
        <x:f>IFERROR(I213*J213,0)</x:f>
        <x:v>0</x:v>
      </x:c>
      <x:c r="M213" s="50"/>
    </x:row>
    <x:row r="214" ht="15" hidden="0" customHeight="1">
      <x:c r="B214" s="50"/>
      <x:c r="I214" s="42"/>
      <x:c r="J214" s="44"/>
      <x:c r="K214" s="42" t="n">
        <x:f>IFERROR(I214*J214,0)</x:f>
        <x:v>0</x:v>
      </x:c>
      <x:c r="M214" s="50"/>
    </x:row>
    <x:row r="215" ht="15" hidden="0" customHeight="1">
      <x:c r="B215" s="50"/>
      <x:c r="I215" s="42"/>
      <x:c r="J215" s="44"/>
      <x:c r="K215" s="42" t="n">
        <x:f>IFERROR(I215*J215,0)</x:f>
        <x:v>0</x:v>
      </x:c>
      <x:c r="M215" s="50"/>
    </x:row>
    <x:row r="216" ht="15" hidden="0" customHeight="1">
      <x:c r="B216" s="50"/>
      <x:c r="I216" s="42"/>
      <x:c r="J216" s="44"/>
      <x:c r="K216" s="42" t="n">
        <x:f>IFERROR(I216*J216,0)</x:f>
        <x:v>0</x:v>
      </x:c>
      <x:c r="M216" s="50"/>
    </x:row>
    <x:row r="217" ht="15" hidden="0" customHeight="1">
      <x:c r="B217" s="50"/>
      <x:c r="I217" s="42"/>
      <x:c r="J217" s="44"/>
      <x:c r="K217" s="42" t="n">
        <x:f>IFERROR(I217*J217,0)</x:f>
        <x:v>0</x:v>
      </x:c>
      <x:c r="M217" s="50"/>
    </x:row>
    <x:row r="218" ht="15" hidden="0" customHeight="1">
      <x:c r="B218" s="50"/>
      <x:c r="I218" s="42"/>
      <x:c r="J218" s="44"/>
      <x:c r="K218" s="42" t="n">
        <x:f>IFERROR(I218*J218,0)</x:f>
        <x:v>0</x:v>
      </x:c>
      <x:c r="M218" s="50"/>
    </x:row>
    <x:row r="219" ht="15" hidden="0" customHeight="1">
      <x:c r="B219" s="50"/>
      <x:c r="I219" s="42"/>
      <x:c r="J219" s="44"/>
      <x:c r="K219" s="42" t="n">
        <x:f>IFERROR(I219*J219,0)</x:f>
        <x:v>0</x:v>
      </x:c>
      <x:c r="M219" s="50"/>
    </x:row>
    <x:row r="220" ht="15" hidden="0" customHeight="1">
      <x:c r="B220" s="50"/>
      <x:c r="I220" s="42"/>
      <x:c r="J220" s="44"/>
      <x:c r="K220" s="42" t="n">
        <x:f>IFERROR(I220*J220,0)</x:f>
        <x:v>0</x:v>
      </x:c>
      <x:c r="M220" s="50"/>
    </x:row>
    <x:row r="221" ht="15" hidden="0" customHeight="1">
      <x:c r="B221" s="50"/>
      <x:c r="I221" s="42"/>
      <x:c r="J221" s="44"/>
      <x:c r="K221" s="42" t="n">
        <x:f>IFERROR(I221*J221,0)</x:f>
        <x:v>0</x:v>
      </x:c>
      <x:c r="M221" s="50"/>
    </x:row>
    <x:row r="222" ht="15" hidden="0" customHeight="1">
      <x:c r="B222" s="50"/>
      <x:c r="I222" s="42"/>
      <x:c r="J222" s="44"/>
      <x:c r="K222" s="42" t="n">
        <x:f>IFERROR(I222*J222,0)</x:f>
        <x:v>0</x:v>
      </x:c>
      <x:c r="M222" s="50"/>
    </x:row>
    <x:row r="223" ht="15" hidden="0" customHeight="1">
      <x:c r="B223" s="50"/>
      <x:c r="I223" s="42"/>
      <x:c r="J223" s="44"/>
      <x:c r="K223" s="42" t="n">
        <x:f>IFERROR(I223*J223,0)</x:f>
        <x:v>0</x:v>
      </x:c>
      <x:c r="M223" s="50"/>
    </x:row>
    <x:row r="224" ht="15" hidden="0" customHeight="1">
      <x:c r="B224" s="50"/>
      <x:c r="I224" s="42"/>
      <x:c r="J224" s="44"/>
      <x:c r="K224" s="42" t="n">
        <x:f>IFERROR(I224*J224,0)</x:f>
        <x:v>0</x:v>
      </x:c>
      <x:c r="M224" s="50"/>
    </x:row>
    <x:row r="225" ht="15" hidden="0" customHeight="1">
      <x:c r="B225" s="50"/>
      <x:c r="I225" s="42"/>
      <x:c r="J225" s="44"/>
      <x:c r="K225" s="42" t="n">
        <x:f>IFERROR(I225*J225,0)</x:f>
        <x:v>0</x:v>
      </x:c>
      <x:c r="M225" s="50"/>
    </x:row>
    <x:row r="226" ht="15" hidden="0" customHeight="1">
      <x:c r="B226" s="50"/>
      <x:c r="I226" s="42"/>
      <x:c r="J226" s="44"/>
      <x:c r="K226" s="42" t="n">
        <x:f>IFERROR(I226*J226,0)</x:f>
        <x:v>0</x:v>
      </x:c>
      <x:c r="M226" s="50"/>
    </x:row>
    <x:row r="227" ht="15" hidden="0" customHeight="1">
      <x:c r="B227" s="50"/>
      <x:c r="I227" s="42"/>
      <x:c r="J227" s="44"/>
      <x:c r="K227" s="42" t="n">
        <x:f>IFERROR(I227*J227,0)</x:f>
        <x:v>0</x:v>
      </x:c>
      <x:c r="M227" s="50"/>
    </x:row>
    <x:row r="228" ht="15" hidden="0" customHeight="1">
      <x:c r="B228" s="50"/>
      <x:c r="I228" s="42"/>
      <x:c r="J228" s="44"/>
      <x:c r="K228" s="42" t="n">
        <x:f>IFERROR(I228*J228,0)</x:f>
        <x:v>0</x:v>
      </x:c>
      <x:c r="M228" s="50"/>
    </x:row>
    <x:row r="229" ht="15" hidden="0" customHeight="1">
      <x:c r="B229" s="50"/>
      <x:c r="I229" s="42"/>
      <x:c r="J229" s="44"/>
      <x:c r="K229" s="42" t="n">
        <x:f>IFERROR(I229*J229,0)</x:f>
        <x:v>0</x:v>
      </x:c>
      <x:c r="M229" s="50"/>
    </x:row>
    <x:row r="230" ht="15" hidden="0" customHeight="1">
      <x:c r="B230" s="50"/>
      <x:c r="I230" s="42"/>
      <x:c r="J230" s="44"/>
      <x:c r="K230" s="42" t="n">
        <x:f>IFERROR(I230*J230,0)</x:f>
        <x:v>0</x:v>
      </x:c>
      <x:c r="M230" s="50"/>
    </x:row>
    <x:row r="231" ht="15" hidden="0" customHeight="1">
      <x:c r="B231" s="50"/>
      <x:c r="I231" s="42"/>
      <x:c r="J231" s="44"/>
      <x:c r="K231" s="42" t="n">
        <x:f>IFERROR(I231*J231,0)</x:f>
        <x:v>0</x:v>
      </x:c>
      <x:c r="M231" s="50"/>
    </x:row>
    <x:row r="232" ht="15" hidden="0" customHeight="1">
      <x:c r="B232" s="50"/>
      <x:c r="I232" s="42"/>
      <x:c r="J232" s="44"/>
      <x:c r="K232" s="42" t="n">
        <x:f>IFERROR(I232*J232,0)</x:f>
        <x:v>0</x:v>
      </x:c>
      <x:c r="M232" s="50"/>
    </x:row>
    <x:row r="233" ht="15" hidden="0" customHeight="1">
      <x:c r="B233" s="50"/>
      <x:c r="I233" s="42"/>
      <x:c r="J233" s="44"/>
      <x:c r="K233" s="42" t="n">
        <x:f>IFERROR(I233*J233,0)</x:f>
        <x:v>0</x:v>
      </x:c>
      <x:c r="M233" s="50"/>
    </x:row>
    <x:row r="234" ht="15" hidden="0" customHeight="1">
      <x:c r="B234" s="50"/>
      <x:c r="I234" s="42"/>
      <x:c r="J234" s="44"/>
      <x:c r="K234" s="42" t="n">
        <x:f>IFERROR(I234*J234,0)</x:f>
        <x:v>0</x:v>
      </x:c>
      <x:c r="M234" s="50"/>
    </x:row>
    <x:row r="235" ht="15" hidden="0" customHeight="1">
      <x:c r="B235" s="50"/>
      <x:c r="I235" s="42"/>
      <x:c r="J235" s="44"/>
      <x:c r="K235" s="42" t="n">
        <x:f>IFERROR(I235*J235,0)</x:f>
        <x:v>0</x:v>
      </x:c>
      <x:c r="M235" s="50"/>
    </x:row>
    <x:row r="236" ht="15" hidden="0" customHeight="1">
      <x:c r="B236" s="50"/>
      <x:c r="I236" s="42"/>
      <x:c r="J236" s="44"/>
      <x:c r="K236" s="42" t="n">
        <x:f>IFERROR(I236*J236,0)</x:f>
        <x:v>0</x:v>
      </x:c>
      <x:c r="M236" s="50"/>
    </x:row>
    <x:row r="237" ht="15" hidden="0" customHeight="1">
      <x:c r="B237" s="50"/>
      <x:c r="I237" s="42"/>
      <x:c r="J237" s="44"/>
      <x:c r="K237" s="42" t="n">
        <x:f>IFERROR(I237*J237,0)</x:f>
        <x:v>0</x:v>
      </x:c>
      <x:c r="M237" s="50"/>
    </x:row>
    <x:row r="238" ht="15" hidden="0" customHeight="1">
      <x:c r="B238" s="50"/>
      <x:c r="I238" s="42"/>
      <x:c r="J238" s="44"/>
      <x:c r="K238" s="42" t="n">
        <x:f>IFERROR(I238*J238,0)</x:f>
        <x:v>0</x:v>
      </x:c>
      <x:c r="M238" s="50"/>
    </x:row>
    <x:row r="239" ht="15" hidden="0" customHeight="1">
      <x:c r="B239" s="50"/>
      <x:c r="I239" s="42"/>
      <x:c r="J239" s="44"/>
      <x:c r="K239" s="42" t="n">
        <x:f>IFERROR(I239*J239,0)</x:f>
        <x:v>0</x:v>
      </x:c>
      <x:c r="M239" s="50"/>
    </x:row>
    <x:row r="240" ht="15" hidden="0" customHeight="1">
      <x:c r="B240" s="50"/>
      <x:c r="I240" s="42"/>
      <x:c r="J240" s="44"/>
      <x:c r="K240" s="42" t="n">
        <x:f>IFERROR(I240*J240,0)</x:f>
        <x:v>0</x:v>
      </x:c>
      <x:c r="M240" s="50"/>
    </x:row>
    <x:row r="241" ht="15" hidden="0" customHeight="1">
      <x:c r="B241" s="50"/>
      <x:c r="I241" s="42"/>
      <x:c r="J241" s="44"/>
      <x:c r="K241" s="42" t="n">
        <x:f>IFERROR(I241*J241,0)</x:f>
        <x:v>0</x:v>
      </x:c>
      <x:c r="M241" s="50"/>
    </x:row>
    <x:row r="242" ht="15" hidden="0" customHeight="1">
      <x:c r="B242" s="50"/>
      <x:c r="I242" s="42"/>
      <x:c r="J242" s="44"/>
      <x:c r="K242" s="42" t="n">
        <x:f>IFERROR(I242*J242,0)</x:f>
        <x:v>0</x:v>
      </x:c>
      <x:c r="M242" s="50"/>
    </x:row>
    <x:row r="243" ht="15" hidden="0" customHeight="1">
      <x:c r="B243" s="50"/>
      <x:c r="I243" s="42"/>
      <x:c r="J243" s="44"/>
      <x:c r="K243" s="42" t="n">
        <x:f>IFERROR(I243*J243,0)</x:f>
        <x:v>0</x:v>
      </x:c>
      <x:c r="M243" s="50"/>
    </x:row>
    <x:row r="244" ht="15" hidden="0" customHeight="1">
      <x:c r="B244" s="50"/>
      <x:c r="I244" s="42"/>
      <x:c r="J244" s="44"/>
      <x:c r="K244" s="42" t="n">
        <x:f>IFERROR(I244*J244,0)</x:f>
        <x:v>0</x:v>
      </x:c>
      <x:c r="M244" s="50"/>
    </x:row>
    <x:row r="245" ht="15" hidden="0" customHeight="1">
      <x:c r="B245" s="50"/>
      <x:c r="I245" s="42"/>
      <x:c r="J245" s="44"/>
      <x:c r="K245" s="42" t="n">
        <x:f>IFERROR(I245*J245,0)</x:f>
        <x:v>0</x:v>
      </x:c>
      <x:c r="M245" s="50"/>
    </x:row>
    <x:row r="246" ht="15" hidden="0" customHeight="1">
      <x:c r="B246" s="50"/>
      <x:c r="I246" s="42"/>
      <x:c r="J246" s="44"/>
      <x:c r="K246" s="42" t="n">
        <x:f>IFERROR(I246*J246,0)</x:f>
        <x:v>0</x:v>
      </x:c>
      <x:c r="M246" s="50"/>
    </x:row>
    <x:row r="247" ht="15" hidden="0" customHeight="1">
      <x:c r="B247" s="50"/>
      <x:c r="I247" s="42"/>
      <x:c r="J247" s="44"/>
      <x:c r="K247" s="42" t="n">
        <x:f>IFERROR(I247*J247,0)</x:f>
        <x:v>0</x:v>
      </x:c>
      <x:c r="M247" s="50"/>
    </x:row>
    <x:row r="248" ht="15" hidden="0" customHeight="1">
      <x:c r="B248" s="50"/>
      <x:c r="I248" s="42"/>
      <x:c r="J248" s="44"/>
      <x:c r="K248" s="42" t="n">
        <x:f>IFERROR(I248*J248,0)</x:f>
        <x:v>0</x:v>
      </x:c>
      <x:c r="M248" s="50"/>
    </x:row>
    <x:row r="249" ht="15" hidden="0" customHeight="1">
      <x:c r="B249" s="50"/>
      <x:c r="I249" s="42"/>
      <x:c r="J249" s="44"/>
      <x:c r="K249" s="42" t="n">
        <x:f>IFERROR(I249*J249,0)</x:f>
        <x:v>0</x:v>
      </x:c>
      <x:c r="M249" s="50"/>
    </x:row>
    <x:row r="250" ht="15" hidden="0" customHeight="1">
      <x:c r="B250" s="50"/>
      <x:c r="I250" s="42"/>
      <x:c r="J250" s="44"/>
      <x:c r="K250" s="42" t="n">
        <x:f>IFERROR(I250*J250,0)</x:f>
        <x:v>0</x:v>
      </x:c>
      <x:c r="M250" s="50"/>
    </x:row>
    <x:row r="251" ht="15" hidden="0" customHeight="1">
      <x:c r="B251" s="50"/>
      <x:c r="I251" s="42"/>
      <x:c r="J251" s="44"/>
      <x:c r="K251" s="42" t="n">
        <x:f>IFERROR(I251*J251,0)</x:f>
        <x:v>0</x:v>
      </x:c>
      <x:c r="M251" s="50"/>
    </x:row>
    <x:row r="252" ht="15" hidden="0" customHeight="1">
      <x:c r="B252" s="50"/>
      <x:c r="I252" s="42"/>
      <x:c r="J252" s="44"/>
      <x:c r="K252" s="42" t="n">
        <x:f>IFERROR(I252*J252,0)</x:f>
        <x:v>0</x:v>
      </x:c>
      <x:c r="M252" s="50"/>
    </x:row>
    <x:row r="253" ht="15" hidden="0" customHeight="1">
      <x:c r="B253" s="50"/>
      <x:c r="I253" s="42"/>
      <x:c r="J253" s="44"/>
      <x:c r="K253" s="42" t="n">
        <x:f>IFERROR(I253*J253,0)</x:f>
        <x:v>0</x:v>
      </x:c>
      <x:c r="M253" s="50"/>
    </x:row>
    <x:row r="254" ht="15" hidden="0" customHeight="1">
      <x:c r="B254" s="50"/>
      <x:c r="I254" s="42"/>
      <x:c r="J254" s="44"/>
      <x:c r="K254" s="42" t="n">
        <x:f>IFERROR(I254*J254,0)</x:f>
        <x:v>0</x:v>
      </x:c>
      <x:c r="M254" s="50"/>
    </x:row>
    <x:row r="255" ht="15" hidden="0" customHeight="1">
      <x:c r="B255" s="50"/>
      <x:c r="I255" s="42"/>
      <x:c r="J255" s="44"/>
      <x:c r="K255" s="42" t="n">
        <x:f>IFERROR(I255*J255,0)</x:f>
        <x:v>0</x:v>
      </x:c>
      <x:c r="M255" s="50"/>
    </x:row>
    <x:row r="256" ht="15" hidden="0" customHeight="1">
      <x:c r="B256" s="50"/>
      <x:c r="I256" s="42"/>
      <x:c r="J256" s="44"/>
      <x:c r="K256" s="42" t="n">
        <x:f>IFERROR(I256*J256,0)</x:f>
        <x:v>0</x:v>
      </x:c>
      <x:c r="M256" s="50"/>
    </x:row>
    <x:row r="257" ht="15" hidden="0" customHeight="1">
      <x:c r="B257" s="50"/>
      <x:c r="I257" s="42"/>
      <x:c r="J257" s="44"/>
      <x:c r="K257" s="42" t="n">
        <x:f>IFERROR(I257*J257,0)</x:f>
        <x:v>0</x:v>
      </x:c>
      <x:c r="M257" s="50"/>
    </x:row>
    <x:row r="258" ht="15" hidden="0" customHeight="1">
      <x:c r="B258" s="50"/>
      <x:c r="I258" s="42"/>
      <x:c r="J258" s="44"/>
      <x:c r="K258" s="42" t="n">
        <x:f>IFERROR(I258*J258,0)</x:f>
        <x:v>0</x:v>
      </x:c>
      <x:c r="M258" s="50"/>
    </x:row>
    <x:row r="259" ht="15" hidden="0" customHeight="1">
      <x:c r="B259" s="50"/>
      <x:c r="I259" s="42"/>
      <x:c r="J259" s="44"/>
      <x:c r="K259" s="42" t="n">
        <x:f>IFERROR(I259*J259,0)</x:f>
        <x:v>0</x:v>
      </x:c>
      <x:c r="M259" s="50"/>
    </x:row>
    <x:row r="260" ht="15" hidden="0" customHeight="1">
      <x:c r="B260" s="50"/>
      <x:c r="I260" s="42"/>
      <x:c r="J260" s="44"/>
      <x:c r="K260" s="42" t="n">
        <x:f>IFERROR(I260*J260,0)</x:f>
        <x:v>0</x:v>
      </x:c>
      <x:c r="M260" s="50"/>
    </x:row>
    <x:row r="261" ht="15" hidden="0" customHeight="1">
      <x:c r="B261" s="50"/>
      <x:c r="I261" s="42"/>
      <x:c r="J261" s="44"/>
      <x:c r="K261" s="42" t="n">
        <x:f>IFERROR(I261*J261,0)</x:f>
        <x:v>0</x:v>
      </x:c>
      <x:c r="M261" s="50"/>
    </x:row>
    <x:row r="262" ht="15" hidden="0" customHeight="1">
      <x:c r="B262" s="50"/>
      <x:c r="I262" s="42"/>
      <x:c r="J262" s="44"/>
      <x:c r="K262" s="42" t="n">
        <x:f>IFERROR(I262*J262,0)</x:f>
        <x:v>0</x:v>
      </x:c>
      <x:c r="M262" s="50"/>
    </x:row>
    <x:row r="263" ht="15" hidden="0" customHeight="1">
      <x:c r="B263" s="50"/>
      <x:c r="I263" s="42"/>
      <x:c r="J263" s="44"/>
      <x:c r="K263" s="42" t="n">
        <x:f>IFERROR(I263*J263,0)</x:f>
        <x:v>0</x:v>
      </x:c>
      <x:c r="M263" s="50"/>
    </x:row>
    <x:row r="264" ht="15" hidden="0" customHeight="1">
      <x:c r="B264" s="50"/>
      <x:c r="I264" s="42"/>
      <x:c r="J264" s="44"/>
      <x:c r="K264" s="42" t="n">
        <x:f>IFERROR(I264*J264,0)</x:f>
        <x:v>0</x:v>
      </x:c>
      <x:c r="M264" s="50"/>
    </x:row>
    <x:row r="265" ht="15" hidden="0" customHeight="1">
      <x:c r="B265" s="50"/>
      <x:c r="I265" s="42"/>
      <x:c r="J265" s="44"/>
      <x:c r="K265" s="42" t="n">
        <x:f>IFERROR(I265*J265,0)</x:f>
        <x:v>0</x:v>
      </x:c>
      <x:c r="M265" s="50"/>
    </x:row>
    <x:row r="266" ht="15" hidden="0" customHeight="1">
      <x:c r="B266" s="50"/>
      <x:c r="I266" s="42"/>
      <x:c r="J266" s="44"/>
      <x:c r="K266" s="42" t="n">
        <x:f>IFERROR(I266*J266,0)</x:f>
        <x:v>0</x:v>
      </x:c>
      <x:c r="M266" s="50"/>
    </x:row>
    <x:row r="267" ht="15" hidden="0" customHeight="1">
      <x:c r="B267" s="50"/>
      <x:c r="I267" s="42"/>
      <x:c r="J267" s="44"/>
      <x:c r="K267" s="42" t="n">
        <x:f>IFERROR(I267*J267,0)</x:f>
        <x:v>0</x:v>
      </x:c>
      <x:c r="M267" s="50"/>
    </x:row>
    <x:row r="268" ht="15" hidden="0" customHeight="1">
      <x:c r="B268" s="50"/>
      <x:c r="I268" s="42"/>
      <x:c r="J268" s="44"/>
      <x:c r="K268" s="42" t="n">
        <x:f>IFERROR(I268*J268,0)</x:f>
        <x:v>0</x:v>
      </x:c>
      <x:c r="M268" s="50"/>
    </x:row>
    <x:row r="269" ht="15" hidden="0" customHeight="1">
      <x:c r="B269" s="50"/>
      <x:c r="I269" s="42"/>
      <x:c r="J269" s="44"/>
      <x:c r="K269" s="42" t="n">
        <x:f>IFERROR(I269*J269,0)</x:f>
        <x:v>0</x:v>
      </x:c>
      <x:c r="M269" s="50"/>
    </x:row>
    <x:row r="270" ht="15" hidden="0" customHeight="1">
      <x:c r="B270" s="50"/>
      <x:c r="I270" s="42"/>
      <x:c r="J270" s="44"/>
      <x:c r="K270" s="42" t="n">
        <x:f>IFERROR(I270*J270,0)</x:f>
        <x:v>0</x:v>
      </x:c>
      <x:c r="M270" s="50"/>
    </x:row>
    <x:row r="271" ht="15" hidden="0" customHeight="1">
      <x:c r="B271" s="50"/>
      <x:c r="I271" s="42"/>
      <x:c r="J271" s="44"/>
      <x:c r="K271" s="42" t="n">
        <x:f>IFERROR(I271*J271,0)</x:f>
        <x:v>0</x:v>
      </x:c>
      <x:c r="M271" s="50"/>
    </x:row>
    <x:row r="272" ht="15" hidden="0" customHeight="1">
      <x:c r="B272" s="50"/>
      <x:c r="I272" s="42"/>
      <x:c r="J272" s="44"/>
      <x:c r="K272" s="42" t="n">
        <x:f>IFERROR(I272*J272,0)</x:f>
        <x:v>0</x:v>
      </x:c>
      <x:c r="M272" s="50"/>
    </x:row>
    <x:row r="273" ht="15" hidden="0" customHeight="1">
      <x:c r="B273" s="50"/>
      <x:c r="I273" s="42"/>
      <x:c r="J273" s="44"/>
      <x:c r="K273" s="42" t="n">
        <x:f>IFERROR(I273*J273,0)</x:f>
        <x:v>0</x:v>
      </x:c>
      <x:c r="M273" s="50"/>
    </x:row>
    <x:row r="274" ht="15" hidden="0" customHeight="1">
      <x:c r="B274" s="50"/>
      <x:c r="I274" s="42"/>
      <x:c r="J274" s="44"/>
      <x:c r="K274" s="42" t="n">
        <x:f>IFERROR(I274*J274,0)</x:f>
        <x:v>0</x:v>
      </x:c>
      <x:c r="M274" s="50"/>
    </x:row>
    <x:row r="275" ht="15" hidden="0" customHeight="1">
      <x:c r="B275" s="50"/>
      <x:c r="I275" s="42"/>
      <x:c r="J275" s="44"/>
      <x:c r="K275" s="42" t="n">
        <x:f>IFERROR(I275*J275,0)</x:f>
        <x:v>0</x:v>
      </x:c>
      <x:c r="M275" s="50"/>
    </x:row>
    <x:row r="276" ht="15" hidden="0" customHeight="1">
      <x:c r="B276" s="50"/>
      <x:c r="I276" s="42"/>
      <x:c r="J276" s="44"/>
      <x:c r="K276" s="42" t="n">
        <x:f>IFERROR(I276*J276,0)</x:f>
        <x:v>0</x:v>
      </x:c>
      <x:c r="M276" s="50"/>
    </x:row>
    <x:row r="277" ht="15" hidden="0" customHeight="1">
      <x:c r="B277" s="50"/>
      <x:c r="I277" s="42"/>
      <x:c r="J277" s="44"/>
      <x:c r="K277" s="42" t="n">
        <x:f>IFERROR(I277*J277,0)</x:f>
        <x:v>0</x:v>
      </x:c>
      <x:c r="M277" s="50"/>
    </x:row>
    <x:row r="278" ht="15" hidden="0" customHeight="1">
      <x:c r="B278" s="50"/>
      <x:c r="I278" s="42"/>
      <x:c r="J278" s="44"/>
      <x:c r="K278" s="42" t="n">
        <x:f>IFERROR(I278*J278,0)</x:f>
        <x:v>0</x:v>
      </x:c>
      <x:c r="M278" s="50"/>
    </x:row>
    <x:row r="279" ht="15" hidden="0" customHeight="1">
      <x:c r="B279" s="50"/>
      <x:c r="I279" s="42"/>
      <x:c r="J279" s="44"/>
      <x:c r="K279" s="42" t="n">
        <x:f>IFERROR(I279*J279,0)</x:f>
        <x:v>0</x:v>
      </x:c>
      <x:c r="M279" s="50"/>
    </x:row>
    <x:row r="280" ht="15" hidden="0" customHeight="1">
      <x:c r="B280" s="50"/>
      <x:c r="I280" s="42"/>
      <x:c r="J280" s="44"/>
      <x:c r="K280" s="42" t="n">
        <x:f>IFERROR(I280*J280,0)</x:f>
        <x:v>0</x:v>
      </x:c>
      <x:c r="M280" s="50"/>
    </x:row>
    <x:row r="281" ht="15" hidden="0" customHeight="1">
      <x:c r="B281" s="50"/>
      <x:c r="I281" s="42"/>
      <x:c r="J281" s="44"/>
      <x:c r="K281" s="42" t="n">
        <x:f>IFERROR(I281*J281,0)</x:f>
        <x:v>0</x:v>
      </x:c>
      <x:c r="M281" s="50"/>
    </x:row>
    <x:row r="282" ht="15" hidden="0" customHeight="1">
      <x:c r="B282" s="50"/>
      <x:c r="I282" s="42"/>
      <x:c r="J282" s="44"/>
      <x:c r="K282" s="42" t="n">
        <x:f>IFERROR(I282*J282,0)</x:f>
        <x:v>0</x:v>
      </x:c>
      <x:c r="M282" s="50"/>
    </x:row>
    <x:row r="283" ht="15" hidden="0" customHeight="1">
      <x:c r="B283" s="50"/>
      <x:c r="I283" s="42"/>
      <x:c r="J283" s="44"/>
      <x:c r="K283" s="42" t="n">
        <x:f>IFERROR(I283*J283,0)</x:f>
        <x:v>0</x:v>
      </x:c>
      <x:c r="M283" s="50"/>
    </x:row>
    <x:row r="284" ht="15" hidden="0" customHeight="1">
      <x:c r="B284" s="50"/>
      <x:c r="I284" s="42"/>
      <x:c r="J284" s="44"/>
      <x:c r="K284" s="42" t="n">
        <x:f>IFERROR(I284*J284,0)</x:f>
        <x:v>0</x:v>
      </x:c>
      <x:c r="M284" s="50"/>
    </x:row>
    <x:row r="285" ht="15" hidden="0" customHeight="1">
      <x:c r="B285" s="50"/>
      <x:c r="I285" s="42"/>
      <x:c r="J285" s="44"/>
      <x:c r="K285" s="42" t="n">
        <x:f>IFERROR(I285*J285,0)</x:f>
        <x:v>0</x:v>
      </x:c>
      <x:c r="M285" s="50"/>
    </x:row>
    <x:row r="286" ht="15" hidden="0" customHeight="1">
      <x:c r="B286" s="50"/>
      <x:c r="I286" s="42"/>
      <x:c r="J286" s="44"/>
      <x:c r="K286" s="42" t="n">
        <x:f>IFERROR(I286*J286,0)</x:f>
        <x:v>0</x:v>
      </x:c>
      <x:c r="M286" s="50"/>
    </x:row>
    <x:row r="287" ht="15" hidden="0" customHeight="1">
      <x:c r="B287" s="50"/>
      <x:c r="I287" s="42"/>
      <x:c r="J287" s="44"/>
      <x:c r="K287" s="42" t="n">
        <x:f>IFERROR(I287*J287,0)</x:f>
        <x:v>0</x:v>
      </x:c>
      <x:c r="M287" s="50"/>
    </x:row>
    <x:row r="288" ht="15" hidden="0" customHeight="1">
      <x:c r="B288" s="50"/>
      <x:c r="I288" s="42"/>
      <x:c r="J288" s="44"/>
      <x:c r="K288" s="42" t="n">
        <x:f>IFERROR(I288*J288,0)</x:f>
        <x:v>0</x:v>
      </x:c>
      <x:c r="M288" s="50"/>
    </x:row>
    <x:row r="289" ht="15" hidden="0" customHeight="1">
      <x:c r="B289" s="50"/>
      <x:c r="I289" s="42"/>
      <x:c r="J289" s="44"/>
      <x:c r="K289" s="42" t="n">
        <x:f>IFERROR(I289*J289,0)</x:f>
        <x:v>0</x:v>
      </x:c>
      <x:c r="M289" s="50"/>
    </x:row>
    <x:row r="290" ht="15" hidden="0" customHeight="1">
      <x:c r="B290" s="50"/>
      <x:c r="I290" s="42"/>
      <x:c r="J290" s="44"/>
      <x:c r="K290" s="42" t="n">
        <x:f>IFERROR(I290*J290,0)</x:f>
        <x:v>0</x:v>
      </x:c>
      <x:c r="M290" s="50"/>
    </x:row>
    <x:row r="291" ht="15" hidden="0" customHeight="1">
      <x:c r="B291" s="50"/>
      <x:c r="I291" s="42"/>
      <x:c r="J291" s="44"/>
      <x:c r="K291" s="42" t="n">
        <x:f>IFERROR(I291*J291,0)</x:f>
        <x:v>0</x:v>
      </x:c>
      <x:c r="M291" s="50"/>
    </x:row>
    <x:row r="292" ht="15" hidden="0" customHeight="1">
      <x:c r="B292" s="50"/>
      <x:c r="I292" s="42"/>
      <x:c r="J292" s="44"/>
      <x:c r="K292" s="42" t="n">
        <x:f>IFERROR(I292*J292,0)</x:f>
        <x:v>0</x:v>
      </x:c>
      <x:c r="M292" s="50"/>
    </x:row>
    <x:row r="293" ht="15" hidden="0" customHeight="1">
      <x:c r="B293" s="50"/>
      <x:c r="I293" s="42"/>
      <x:c r="J293" s="44"/>
      <x:c r="K293" s="42" t="n">
        <x:f>IFERROR(I293*J293,0)</x:f>
        <x:v>0</x:v>
      </x:c>
      <x:c r="M293" s="50"/>
    </x:row>
    <x:row r="294" ht="15" hidden="0" customHeight="1">
      <x:c r="B294" s="50"/>
      <x:c r="I294" s="42"/>
      <x:c r="J294" s="44"/>
      <x:c r="K294" s="42" t="n">
        <x:f>IFERROR(I294*J294,0)</x:f>
        <x:v>0</x:v>
      </x:c>
      <x:c r="M294" s="50"/>
    </x:row>
    <x:row r="295" ht="15" hidden="0" customHeight="1">
      <x:c r="B295" s="50"/>
      <x:c r="I295" s="42"/>
      <x:c r="J295" s="44"/>
      <x:c r="K295" s="42" t="n">
        <x:f>IFERROR(I295*J295,0)</x:f>
        <x:v>0</x:v>
      </x:c>
      <x:c r="M295" s="50"/>
    </x:row>
    <x:row r="296" ht="15" hidden="0" customHeight="1">
      <x:c r="B296" s="50"/>
      <x:c r="I296" s="42"/>
      <x:c r="J296" s="44"/>
      <x:c r="K296" s="42" t="n">
        <x:f>IFERROR(I296*J296,0)</x:f>
        <x:v>0</x:v>
      </x:c>
      <x:c r="M296" s="50"/>
    </x:row>
    <x:row r="297" ht="15" hidden="0" customHeight="1">
      <x:c r="B297" s="50"/>
      <x:c r="I297" s="42"/>
      <x:c r="J297" s="44"/>
      <x:c r="K297" s="42" t="n">
        <x:f>IFERROR(I297*J297,0)</x:f>
        <x:v>0</x:v>
      </x:c>
      <x:c r="M297" s="50"/>
    </x:row>
    <x:row r="298" ht="15" hidden="0" customHeight="1">
      <x:c r="B298" s="50"/>
      <x:c r="I298" s="42"/>
      <x:c r="J298" s="44"/>
      <x:c r="K298" s="42" t="n">
        <x:f>IFERROR(I298*J298,0)</x:f>
        <x:v>0</x:v>
      </x:c>
      <x:c r="M298" s="50"/>
    </x:row>
    <x:row r="299" ht="15" hidden="0" customHeight="1">
      <x:c r="B299" s="50"/>
      <x:c r="I299" s="42"/>
      <x:c r="J299" s="44"/>
      <x:c r="K299" s="42" t="n">
        <x:f>IFERROR(I299*J299,0)</x:f>
        <x:v>0</x:v>
      </x:c>
      <x:c r="M299" s="50"/>
    </x:row>
    <x:row r="300" ht="15" hidden="0" customHeight="1">
      <x:c r="B300" s="50"/>
      <x:c r="I300" s="42"/>
      <x:c r="J300" s="44"/>
      <x:c r="K300" s="42" t="n">
        <x:f>IFERROR(I300*J300,0)</x:f>
        <x:v>0</x:v>
      </x:c>
      <x:c r="M300" s="50"/>
    </x:row>
    <x:row r="301" ht="15" hidden="0" customHeight="1">
      <x:c r="B301" s="50"/>
      <x:c r="I301" s="42"/>
      <x:c r="J301" s="44"/>
      <x:c r="K301" s="42" t="n">
        <x:f>IFERROR(I301*J301,0)</x:f>
        <x:v>0</x:v>
      </x:c>
      <x:c r="M301" s="50"/>
    </x:row>
    <x:row r="302" ht="15" hidden="0" customHeight="1">
      <x:c r="B302" s="50"/>
      <x:c r="I302" s="42"/>
      <x:c r="J302" s="44"/>
      <x:c r="K302" s="42" t="n">
        <x:f>IFERROR(I302*J302,0)</x:f>
        <x:v>0</x:v>
      </x:c>
      <x:c r="M302" s="50"/>
    </x:row>
    <x:row r="303" ht="15" hidden="0" customHeight="1">
      <x:c r="B303" s="50"/>
      <x:c r="I303" s="42"/>
      <x:c r="J303" s="44"/>
      <x:c r="K303" s="42" t="n">
        <x:f>IFERROR(I303*J303,0)</x:f>
        <x:v>0</x:v>
      </x:c>
      <x:c r="M303" s="50"/>
    </x:row>
    <x:row r="304" ht="15" hidden="0" customHeight="1">
      <x:c r="B304" s="50"/>
      <x:c r="I304" s="42"/>
      <x:c r="J304" s="44"/>
      <x:c r="K304" s="42" t="n">
        <x:f>IFERROR(I304*J304,0)</x:f>
        <x:v>0</x:v>
      </x:c>
      <x:c r="M304" s="50"/>
    </x:row>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conditionalFormatting sqref="H5:H304">
    <x:cfRule type="expression" dxfId="4" priority="1">
      <x:formula>$H5="Closed Won"</x:formula>
    </x:cfRule>
    <x:cfRule type="expression" dxfId="5" priority="2">
      <x:formula>$H5="Closed Lost"</x:formula>
    </x:cfRule>
    <x:cfRule type="expression" dxfId="6" priority="3">
      <x:formula>$H5="Proposal"</x:formula>
    </x:cfRule>
  </x:conditionalFormatting>
  <x:dataValidations count="3">
    <x:dataValidation type="list" sqref="F5:F304">
      <x:formula1>Dropdowns!$A$2:$A$7</x:formula1>
    </x:dataValidation>
    <x:dataValidation type="list" sqref="G5:G304">
      <x:formula1>Dropdowns!$H$2:$H$10</x:formula1>
    </x:dataValidation>
    <x:dataValidation type="list" sqref="H5:H304">
      <x:formula1>Dropdowns!$G$2:$G$10</x:formula1>
    </x:dataValidation>
  </x:dataValidations>
  <x:pageMargins left="0.7" right="0.7" top="0.75" bottom="0.75" header="0.3" footer="0.3"/>
  <x:tableParts count="1">
    <x:tablePart xmlns:r="http://schemas.openxmlformats.org/officeDocument/2006/relationships" r:id="R6b4a205807614b6d"/>
  </x:tableParts>
</x:worksheet>
</file>

<file path=xl/worksheets/sheet7.xml><?xml version="1.0" encoding="utf-8"?>
<x:worksheet xmlns:x="http://schemas.openxmlformats.org/spreadsheetml/2006/main">
  <x:sheetFormatPr defaultRowHeight="15"/>
  <x:cols>
    <x:col min="1" max="1" width="16" hidden="0" customWidth="1"/>
    <x:col min="2" max="2" width="18" hidden="0" customWidth="1"/>
    <x:col min="3" max="3" width="24" hidden="0" customWidth="1"/>
    <x:col min="4" max="4" width="16" hidden="0" customWidth="1"/>
    <x:col min="5" max="5" width="28" hidden="0" customWidth="1"/>
    <x:col min="6" max="6" width="65" hidden="0" customWidth="1"/>
    <x:col min="7" max="7" width="55" hidden="0" customWidth="1"/>
    <x:col min="8" max="8" width="55" hidden="0" customWidth="1"/>
  </x:cols>
  <x:sheetData>
    <x:row r="1" ht="30" hidden="0" customHeight="1">
      <x:c r="A1" s="5" t="str">
        <x:v>Message Library</x:v>
      </x:c>
      <x:c r="B1" s="5"/>
      <x:c r="C1" s="5"/>
      <x:c r="D1" s="5"/>
      <x:c r="E1" s="55"/>
      <x:c r="F1" s="55"/>
      <x:c r="G1" s="55"/>
      <x:c r="H1" s="55"/>
    </x:row>
    <x:row r="2" ht="38" hidden="0" customHeight="1">
      <x:c r="A2" s="13" t="str">
        <x:v>Paste-ready base messages. Personalize the hook before use.</x:v>
      </x:c>
      <x:c r="B2" s="13"/>
      <x:c r="C2" s="13"/>
      <x:c r="D2" s="13"/>
      <x:c r="E2" s="13"/>
      <x:c r="F2" s="13"/>
      <x:c r="G2" s="13"/>
      <x:c r="H2" s="13"/>
    </x:row>
    <x:row r="3"/>
    <x:row r="4" ht="15" hidden="0" customHeight="1">
      <x:c r="A4" s="22" t="str">
        <x:v>Message Version</x:v>
      </x:c>
      <x:c r="B4" s="22" t="str">
        <x:v>Lane</x:v>
      </x:c>
      <x:c r="C4" s="22" t="str">
        <x:v>Scenario</x:v>
      </x:c>
      <x:c r="D4" s="22" t="str">
        <x:v>Channel</x:v>
      </x:c>
      <x:c r="E4" s="22" t="str">
        <x:v>Subject / Opening</x:v>
      </x:c>
      <x:c r="F4" s="22" t="str">
        <x:v>Message Body</x:v>
      </x:c>
      <x:c r="G4" s="22" t="str">
        <x:v>Follow-Up 1</x:v>
      </x:c>
      <x:c r="H4" s="22" t="str">
        <x:v>Follow-Up 2</x:v>
      </x:c>
    </x:row>
    <x:row r="5" ht="15" hidden="0" customHeight="1">
      <x:c r="A5" t="str">
        <x:v>PILOT-001</x:v>
      </x:c>
      <x:c r="B5" t="str">
        <x:v>Pilot</x:v>
      </x:c>
      <x:c r="C5" t="str">
        <x:v>Initial operator outreach</x:v>
      </x:c>
      <x:c r="D5" t="str">
        <x:v>LinkedIn/Email</x:v>
      </x:c>
      <x:c r="E5" t="str">
        <x:v>Governance discovery for ERP/AI-readiness</x:v>
      </x:c>
      <x:c r="F5" t="str">
        <x:v>Hi [Name], I’m the founder of Mimir Labs. We’re building Ratatosk and Yggdrasil ERP around a specific failure pattern in regulated operations: systems contain data, but the meaning and authority behind that data are not deterministic. Ratatosk maps where definitions break across ERP, spreadsheets, integrations, and shadow systems. It then produces a canonical governance manifest and executive risk summary. I’m looking for 2–3 pilot organizations where this pain is already visible. Worth a short conversation?</x:v>
      </x:c>
      <x:c r="G5" t="str">
        <x:v>Circling back. The best fit is usually when ERP migration, audit prep, integration, or AI-readiness pressure is already surfacing trust problems in operational data. Is this present in your environment?</x:v>
      </x:c>
      <x:c r="H5" t="str">
        <x:v>Last note from me. If this is not yours, is there someone responsible for ERP, compliance, operations, or data governance who would recognize this problem?</x:v>
      </x:c>
    </x:row>
    <x:row r="6" ht="15" hidden="0" customHeight="1">
      <x:c r="A6" t="str">
        <x:v>PARTNER-001</x:v>
      </x:c>
      <x:c r="B6" t="str">
        <x:v>Partner</x:v>
      </x:c>
      <x:c r="C6" t="str">
        <x:v>Consultant/SI outreach</x:v>
      </x:c>
      <x:c r="D6" t="str">
        <x:v>LinkedIn/Email</x:v>
      </x:c>
      <x:c r="E6" t="str">
        <x:v>Upstream diagnostic for semantic drift</x:v>
      </x:c>
      <x:c r="F6" t="str">
        <x:v>Hi [Name], I’m the founder of Mimir Labs. We’re building Ratatosk and Yggdrasil ERP around a problem I suspect you see often: discovery breaks down because clients cannot agree what customers, items, suppliers, orders, inventory, approvals, or controlled data mean across systems. Ratatosk surfaces those conflicts before migration, integration, compliance, or AI work compounds them. Do you run into this with clients?</x:v>
      </x:c>
      <x:c r="G6" t="str">
        <x:v>Following up. I’m looking for ERP consultants, SIs, fractional CIOs, and data advisors who see semantic drift before implementation starts. Would a short diagnostic make discovery cleaner for any of your clients?</x:v>
      </x:c>
      <x:c r="H6" t="str">
        <x:v>Understood if timing is off. I’d still value knowing whether this pattern shows up in your work: clients call it data quality, but the deeper issue is conflicting authority and business meaning.</x:v>
      </x:c>
    </x:row>
    <x:row r="7" ht="15" hidden="0" customHeight="1">
      <x:c r="A7" t="str">
        <x:v>STRAT-001</x:v>
      </x:c>
      <x:c r="B7" t="str">
        <x:v>Strategic/Funder</x:v>
      </x:c>
      <x:c r="C7" t="str">
        <x:v>Investor/strategic outreach</x:v>
      </x:c>
      <x:c r="D7" t="str">
        <x:v>Email/LinkedIn</x:v>
      </x:c>
      <x:c r="E7" t="str">
        <x:v>Authority layer for agentic enterprise systems</x:v>
      </x:c>
      <x:c r="F7" t="str">
        <x:v>Hi [Name], I’m the founder of Mimir Labs. We are building the deterministic authority layer enterprises need before AI agents can safely act across operational systems. The market is moving toward agents, connectors, and knowledge layers. Our thesis is that context is not enough. Once agents touch ERP, finance, procurement, quality, compliance, and supply-chain workflows, the missing layer is authority: canonical meaning, legal state transitions, policy-backed constraints, and audit replay. Worth a strategic fit conversation?</x:v>
      </x:c>
      <x:c r="G7" t="str">
        <x:v>Circling back. I’m looking for investors or strategic partners who understand that enterprise agents need deterministic authority below the model layer before they mutate operational state.</x:v>
      </x:c>
      <x:c r="H7" t="str">
        <x:v>Last follow-up. If this is outside your focus, is there someone in enterprise AI infrastructure, data governance, or operational systems who would be a better fit?</x:v>
      </x:c>
    </x:row>
    <x:row r="8" ht="15" hidden="0" customHeight="1">
      <x:c r="A8" t="str">
        <x:v>ACQ-001</x:v>
      </x:c>
      <x:c r="B8" t="str">
        <x:v>Acquirer/Acqui-hire</x:v>
      </x:c>
      <x:c r="C8" t="str">
        <x:v>Strategic review</x:v>
      </x:c>
      <x:c r="D8" t="str">
        <x:v>Email/LinkedIn</x:v>
      </x:c>
      <x:c r="E8" t="str">
        <x:v>System of action needs system of authority</x:v>
      </x:c>
      <x:c r="F8" t="str">
        <x:v>Hi [Name], I’m the founder of Mimir Labs. We are building Yggdrasil ERP, a governance-first operational substrate for agentic enterprise systems, and Ratatosk, a semantic/authority discovery tool. Our view is that the system-of-action layer being built by enterprise AI platforms will need a deterministic system-of-authority beneath it. I’m looking for the right product or strategy person to assess whether this belongs on your strategic radar.</x:v>
      </x:c>
      <x:c r="G8" t="str">
        <x:v>Following up. Agentic enterprise products can orchestrate action, but regulated customers still need canonical meaning, legal state transitions, policy-backed constraints, and audit replay.</x:v>
      </x:c>
      <x:c r="H8" t="str">
        <x:v>I’ll close the loop here. If there is a strategy, corp dev, product, or enterprise AI infrastructure person who owns this kind of question, I would appreciate a pointer.</x:v>
      </x:c>
    </x:row>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pageMargins left="0.7" right="0.7" top="0.75" bottom="0.75" header="0.3" footer="0.3"/>
  <x:tableParts count="1">
    <x:tablePart xmlns:r="http://schemas.openxmlformats.org/officeDocument/2006/relationships" r:id="R637f45ba615a4296"/>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18" hidden="0" customWidth="1"/>
    <x:col min="5" max="5" width="28" hidden="0" customWidth="1"/>
    <x:col min="6" max="6" width="34" hidden="0" customWidth="1"/>
    <x:col min="7" max="7" width="28" hidden="0" customWidth="1"/>
    <x:col min="8" max="8" width="34" hidden="0" customWidth="1"/>
    <x:col min="9" max="9" width="30" hidden="0" customWidth="1"/>
    <x:col min="10" max="10" width="12" hidden="0" customWidth="1"/>
    <x:col min="11" max="11" width="32" hidden="0" customWidth="1"/>
    <x:col min="12" max="12" width="12" hidden="0" customWidth="1"/>
    <x:col min="13" max="13" width="36" hidden="0" customWidth="1"/>
    <x:col min="14" max="14" width="60" hidden="0" customWidth="1"/>
    <x:col min="15" max="15" width="22" hidden="0" customWidth="1"/>
  </x:cols>
  <x:sheetData>
    <x:row r="1" ht="30" hidden="0" customHeight="1">
      <x:c r="A1" s="5" t="str">
        <x:v>Call Notes</x:v>
      </x:c>
      <x:c r="B1" s="5"/>
      <x:c r="C1" s="5"/>
      <x:c r="D1" s="5"/>
      <x:c r="E1" s="5"/>
      <x:c r="F1" s="55"/>
      <x:c r="G1" s="55"/>
      <x:c r="H1" s="55"/>
      <x:c r="I1" s="34"/>
      <x:c r="K1" s="34"/>
      <x:c r="L1" s="34"/>
      <x:c r="M1" s="34"/>
      <x:c r="N1" s="34"/>
      <x:c r="O1" s="34"/>
    </x:row>
    <x:row r="2" ht="38" hidden="0" customHeight="1">
      <x:c r="A2" s="13" t="str">
        <x:v>Capture call substance. Update Targets and Pipeline after every call.</x:v>
      </x:c>
      <x:c r="B2" s="13"/>
      <x:c r="C2" s="13"/>
      <x:c r="D2" s="13"/>
      <x:c r="E2" s="13"/>
      <x:c r="F2" s="13"/>
      <x:c r="G2" s="13"/>
      <x:c r="H2" s="13"/>
    </x:row>
    <x:row r="3"/>
    <x:row r="4" ht="26.399999618530273" hidden="0" customHeight="1">
      <x:c r="A4" s="22" t="str">
        <x:v>Date</x:v>
      </x:c>
      <x:c r="B4" s="22" t="str">
        <x:v>Target ID</x:v>
      </x:c>
      <x:c r="C4" s="22" t="str">
        <x:v>Name/Org</x:v>
      </x:c>
      <x:c r="D4" s="22" t="str">
        <x:v>Lane</x:v>
      </x:c>
      <x:c r="E4" s="22" t="str">
        <x:v>Participants</x:v>
      </x:c>
      <x:c r="F4" s="22" t="str">
        <x:v>Pain Confirmed</x:v>
      </x:c>
      <x:c r="G4" s="22" t="str">
        <x:v>Budget/Authority</x:v>
      </x:c>
      <x:c r="H4" s="22" t="str">
        <x:v>Current Systems</x:v>
      </x:c>
      <x:c r="I4" s="22" t="str">
        <x:v>Trigger Event</x:v>
      </x:c>
      <x:c r="J4" s="22" t="str">
        <x:v>Qualification Score</x:v>
      </x:c>
      <x:c r="K4" s="22" t="str">
        <x:v>Next Step</x:v>
      </x:c>
      <x:c r="L4" s="22" t="str">
        <x:v>Next Date</x:v>
      </x:c>
      <x:c r="M4" s="22" t="str">
        <x:v>Risks/Objections</x:v>
      </x:c>
      <x:c r="N4" s="22" t="str">
        <x:v>Summary</x:v>
      </x:c>
      <x:c r="O4" s="22" t="str">
        <x:v>Call Outcome</x:v>
      </x:c>
    </x:row>
    <x:row r="5" ht="15" hidden="0" customHeight="1">
      <x:c r="A5" s="50"/>
      <x:c r="L5" s="50"/>
    </x:row>
    <x:row r="6" ht="15" hidden="0" customHeight="1">
      <x:c r="A6" s="50"/>
      <x:c r="L6" s="50"/>
    </x:row>
    <x:row r="7" ht="15" hidden="0" customHeight="1">
      <x:c r="A7" s="50"/>
      <x:c r="L7" s="50"/>
    </x:row>
    <x:row r="8" ht="15" hidden="0" customHeight="1">
      <x:c r="A8" s="50"/>
      <x:c r="L8" s="50"/>
    </x:row>
    <x:row r="9" ht="15" hidden="0" customHeight="1">
      <x:c r="A9" s="50"/>
      <x:c r="L9" s="50"/>
    </x:row>
    <x:row r="10" ht="15" hidden="0" customHeight="1">
      <x:c r="A10" s="50"/>
      <x:c r="L10" s="50"/>
    </x:row>
    <x:row r="11" ht="15" hidden="0" customHeight="1">
      <x:c r="A11" s="50"/>
      <x:c r="L11" s="50"/>
    </x:row>
    <x:row r="12" ht="15" hidden="0" customHeight="1">
      <x:c r="A12" s="50"/>
      <x:c r="L12" s="50"/>
    </x:row>
    <x:row r="13" ht="15" hidden="0" customHeight="1">
      <x:c r="A13" s="50"/>
      <x:c r="L13" s="50"/>
    </x:row>
    <x:row r="14" ht="15" hidden="0" customHeight="1">
      <x:c r="A14" s="50"/>
      <x:c r="L14" s="50"/>
    </x:row>
    <x:row r="15" ht="15" hidden="0" customHeight="1">
      <x:c r="A15" s="50"/>
      <x:c r="L15" s="50"/>
    </x:row>
    <x:row r="16" ht="15" hidden="0" customHeight="1">
      <x:c r="A16" s="50"/>
      <x:c r="L16" s="50"/>
    </x:row>
    <x:row r="17" ht="15" hidden="0" customHeight="1">
      <x:c r="A17" s="50"/>
      <x:c r="L17" s="50"/>
    </x:row>
    <x:row r="18" ht="15" hidden="0" customHeight="1">
      <x:c r="A18" s="50"/>
      <x:c r="L18" s="50"/>
    </x:row>
    <x:row r="19" ht="15" hidden="0" customHeight="1">
      <x:c r="A19" s="50"/>
      <x:c r="L19" s="50"/>
    </x:row>
    <x:row r="20" ht="15" hidden="0" customHeight="1">
      <x:c r="A20" s="50"/>
      <x:c r="L20" s="50"/>
    </x:row>
    <x:row r="21" ht="15" hidden="0" customHeight="1">
      <x:c r="A21" s="50"/>
      <x:c r="L21" s="50"/>
    </x:row>
    <x:row r="22" ht="15" hidden="0" customHeight="1">
      <x:c r="A22" s="50"/>
      <x:c r="L22" s="50"/>
    </x:row>
    <x:row r="23" ht="15" hidden="0" customHeight="1">
      <x:c r="A23" s="50"/>
      <x:c r="L23" s="50"/>
    </x:row>
    <x:row r="24" ht="15" hidden="0" customHeight="1">
      <x:c r="A24" s="50"/>
      <x:c r="L24" s="50"/>
    </x:row>
    <x:row r="25" ht="15" hidden="0" customHeight="1">
      <x:c r="A25" s="50"/>
      <x:c r="L25" s="50"/>
    </x:row>
    <x:row r="26" ht="15" hidden="0" customHeight="1">
      <x:c r="A26" s="50"/>
      <x:c r="L26" s="50"/>
    </x:row>
    <x:row r="27" ht="15" hidden="0" customHeight="1">
      <x:c r="A27" s="50"/>
      <x:c r="L27" s="50"/>
    </x:row>
    <x:row r="28" ht="15" hidden="0" customHeight="1">
      <x:c r="A28" s="50"/>
      <x:c r="L28" s="50"/>
    </x:row>
    <x:row r="29" ht="15" hidden="0" customHeight="1">
      <x:c r="A29" s="50"/>
      <x:c r="L29" s="50"/>
    </x:row>
    <x:row r="30" ht="15" hidden="0" customHeight="1">
      <x:c r="A30" s="50"/>
      <x:c r="L30" s="50"/>
    </x:row>
    <x:row r="31" ht="15" hidden="0" customHeight="1">
      <x:c r="A31" s="50"/>
      <x:c r="L31" s="50"/>
    </x:row>
    <x:row r="32" ht="15" hidden="0" customHeight="1">
      <x:c r="A32" s="50"/>
      <x:c r="L32" s="50"/>
    </x:row>
    <x:row r="33" ht="15" hidden="0" customHeight="1">
      <x:c r="A33" s="50"/>
      <x:c r="L33" s="50"/>
    </x:row>
    <x:row r="34" ht="15" hidden="0" customHeight="1">
      <x:c r="A34" s="50"/>
      <x:c r="L34" s="50"/>
    </x:row>
    <x:row r="35" ht="15" hidden="0" customHeight="1">
      <x:c r="A35" s="50"/>
      <x:c r="L35" s="50"/>
    </x:row>
    <x:row r="36" ht="15" hidden="0" customHeight="1">
      <x:c r="A36" s="50"/>
      <x:c r="L36" s="50"/>
    </x:row>
    <x:row r="37" ht="15" hidden="0" customHeight="1">
      <x:c r="A37" s="50"/>
      <x:c r="L37" s="50"/>
    </x:row>
    <x:row r="38" ht="15" hidden="0" customHeight="1">
      <x:c r="A38" s="50"/>
      <x:c r="L38" s="50"/>
    </x:row>
    <x:row r="39" ht="15" hidden="0" customHeight="1">
      <x:c r="A39" s="50"/>
      <x:c r="L39" s="50"/>
    </x:row>
    <x:row r="40" ht="15" hidden="0" customHeight="1">
      <x:c r="A40" s="50"/>
      <x:c r="L40" s="50"/>
    </x:row>
    <x:row r="41" ht="15" hidden="0" customHeight="1">
      <x:c r="A41" s="50"/>
      <x:c r="L41" s="50"/>
    </x:row>
    <x:row r="42" ht="15" hidden="0" customHeight="1">
      <x:c r="A42" s="50"/>
      <x:c r="L42" s="50"/>
    </x:row>
    <x:row r="43" ht="15" hidden="0" customHeight="1">
      <x:c r="A43" s="50"/>
      <x:c r="L43" s="50"/>
    </x:row>
    <x:row r="44" ht="15" hidden="0" customHeight="1">
      <x:c r="A44" s="50"/>
      <x:c r="L44" s="50"/>
    </x:row>
    <x:row r="45" ht="15" hidden="0" customHeight="1">
      <x:c r="A45" s="50"/>
      <x:c r="L45" s="50"/>
    </x:row>
    <x:row r="46" ht="15" hidden="0" customHeight="1">
      <x:c r="A46" s="50"/>
      <x:c r="L46" s="50"/>
    </x:row>
    <x:row r="47" ht="15" hidden="0" customHeight="1">
      <x:c r="A47" s="50"/>
      <x:c r="L47" s="50"/>
    </x:row>
    <x:row r="48" ht="15" hidden="0" customHeight="1">
      <x:c r="A48" s="50"/>
      <x:c r="L48" s="50"/>
    </x:row>
    <x:row r="49" ht="15" hidden="0" customHeight="1">
      <x:c r="A49" s="50"/>
      <x:c r="L49" s="50"/>
    </x:row>
    <x:row r="50" ht="15" hidden="0" customHeight="1">
      <x:c r="A50" s="50"/>
      <x:c r="L50" s="50"/>
    </x:row>
    <x:row r="51" ht="15" hidden="0" customHeight="1">
      <x:c r="A51" s="50"/>
      <x:c r="L51" s="50"/>
    </x:row>
    <x:row r="52" ht="15" hidden="0" customHeight="1">
      <x:c r="A52" s="50"/>
      <x:c r="L52" s="50"/>
    </x:row>
    <x:row r="53" ht="15" hidden="0" customHeight="1">
      <x:c r="A53" s="50"/>
      <x:c r="L53" s="50"/>
    </x:row>
    <x:row r="54" ht="15" hidden="0" customHeight="1">
      <x:c r="A54" s="50"/>
      <x:c r="L54" s="50"/>
    </x:row>
    <x:row r="55" ht="15" hidden="0" customHeight="1">
      <x:c r="A55" s="50"/>
      <x:c r="L55" s="50"/>
    </x:row>
    <x:row r="56" ht="15" hidden="0" customHeight="1">
      <x:c r="A56" s="50"/>
      <x:c r="L56" s="50"/>
    </x:row>
    <x:row r="57" ht="15" hidden="0" customHeight="1">
      <x:c r="A57" s="50"/>
      <x:c r="L57" s="50"/>
    </x:row>
    <x:row r="58" ht="15" hidden="0" customHeight="1">
      <x:c r="A58" s="50"/>
      <x:c r="L58" s="50"/>
    </x:row>
    <x:row r="59" ht="15" hidden="0" customHeight="1">
      <x:c r="A59" s="50"/>
      <x:c r="L59" s="50"/>
    </x:row>
    <x:row r="60" ht="15" hidden="0" customHeight="1">
      <x:c r="A60" s="50"/>
      <x:c r="L60" s="50"/>
    </x:row>
    <x:row r="61" ht="15" hidden="0" customHeight="1">
      <x:c r="A61" s="50"/>
      <x:c r="L61" s="50"/>
    </x:row>
    <x:row r="62" ht="15" hidden="0" customHeight="1">
      <x:c r="A62" s="50"/>
      <x:c r="L62" s="50"/>
    </x:row>
    <x:row r="63" ht="15" hidden="0" customHeight="1">
      <x:c r="A63" s="50"/>
      <x:c r="L63" s="50"/>
    </x:row>
    <x:row r="64" ht="15" hidden="0" customHeight="1">
      <x:c r="A64" s="50"/>
      <x:c r="L64" s="50"/>
    </x:row>
    <x:row r="65" ht="15" hidden="0" customHeight="1">
      <x:c r="A65" s="50"/>
      <x:c r="L65" s="50"/>
    </x:row>
    <x:row r="66" ht="15" hidden="0" customHeight="1">
      <x:c r="A66" s="50"/>
      <x:c r="L66" s="50"/>
    </x:row>
    <x:row r="67" ht="15" hidden="0" customHeight="1">
      <x:c r="A67" s="50"/>
      <x:c r="L67" s="50"/>
    </x:row>
    <x:row r="68" ht="15" hidden="0" customHeight="1">
      <x:c r="A68" s="50"/>
      <x:c r="L68" s="50"/>
    </x:row>
    <x:row r="69" ht="15" hidden="0" customHeight="1">
      <x:c r="A69" s="50"/>
      <x:c r="L69" s="50"/>
    </x:row>
    <x:row r="70" ht="15" hidden="0" customHeight="1">
      <x:c r="A70" s="50"/>
      <x:c r="L70" s="50"/>
    </x:row>
    <x:row r="71" ht="15" hidden="0" customHeight="1">
      <x:c r="A71" s="50"/>
      <x:c r="L71" s="50"/>
    </x:row>
    <x:row r="72" ht="15" hidden="0" customHeight="1">
      <x:c r="A72" s="50"/>
      <x:c r="L72" s="50"/>
    </x:row>
    <x:row r="73" ht="15" hidden="0" customHeight="1">
      <x:c r="A73" s="50"/>
      <x:c r="L73" s="50"/>
    </x:row>
    <x:row r="74" ht="15" hidden="0" customHeight="1">
      <x:c r="A74" s="50"/>
      <x:c r="L74" s="50"/>
    </x:row>
    <x:row r="75" ht="15" hidden="0" customHeight="1">
      <x:c r="A75" s="50"/>
      <x:c r="L75" s="50"/>
    </x:row>
    <x:row r="76" ht="15" hidden="0" customHeight="1">
      <x:c r="A76" s="50"/>
      <x:c r="L76" s="50"/>
    </x:row>
    <x:row r="77" ht="15" hidden="0" customHeight="1">
      <x:c r="A77" s="50"/>
      <x:c r="L77" s="50"/>
    </x:row>
    <x:row r="78" ht="15" hidden="0" customHeight="1">
      <x:c r="A78" s="50"/>
      <x:c r="L78" s="50"/>
    </x:row>
    <x:row r="79" ht="15" hidden="0" customHeight="1">
      <x:c r="A79" s="50"/>
      <x:c r="L79" s="50"/>
    </x:row>
    <x:row r="80" ht="15" hidden="0" customHeight="1">
      <x:c r="A80" s="50"/>
      <x:c r="L80" s="50"/>
    </x:row>
    <x:row r="81" ht="15" hidden="0" customHeight="1">
      <x:c r="A81" s="50"/>
      <x:c r="L81" s="50"/>
    </x:row>
    <x:row r="82" ht="15" hidden="0" customHeight="1">
      <x:c r="A82" s="50"/>
      <x:c r="L82" s="50"/>
    </x:row>
    <x:row r="83" ht="15" hidden="0" customHeight="1">
      <x:c r="A83" s="50"/>
      <x:c r="L83" s="50"/>
    </x:row>
    <x:row r="84" ht="15" hidden="0" customHeight="1">
      <x:c r="A84" s="50"/>
      <x:c r="L84" s="50"/>
    </x:row>
    <x:row r="85" ht="15" hidden="0" customHeight="1">
      <x:c r="A85" s="50"/>
      <x:c r="L85" s="50"/>
    </x:row>
    <x:row r="86" ht="15" hidden="0" customHeight="1">
      <x:c r="A86" s="50"/>
      <x:c r="L86" s="50"/>
    </x:row>
    <x:row r="87" ht="15" hidden="0" customHeight="1">
      <x:c r="A87" s="50"/>
      <x:c r="L87" s="50"/>
    </x:row>
    <x:row r="88" ht="15" hidden="0" customHeight="1">
      <x:c r="A88" s="50"/>
      <x:c r="L88" s="50"/>
    </x:row>
    <x:row r="89" ht="15" hidden="0" customHeight="1">
      <x:c r="A89" s="50"/>
      <x:c r="L89" s="50"/>
    </x:row>
    <x:row r="90" ht="15" hidden="0" customHeight="1">
      <x:c r="A90" s="50"/>
      <x:c r="L90" s="50"/>
    </x:row>
    <x:row r="91" ht="15" hidden="0" customHeight="1">
      <x:c r="A91" s="50"/>
      <x:c r="L91" s="50"/>
    </x:row>
    <x:row r="92" ht="15" hidden="0" customHeight="1">
      <x:c r="A92" s="50"/>
      <x:c r="L92" s="50"/>
    </x:row>
    <x:row r="93" ht="15" hidden="0" customHeight="1">
      <x:c r="A93" s="50"/>
      <x:c r="L93" s="50"/>
    </x:row>
    <x:row r="94" ht="15" hidden="0" customHeight="1">
      <x:c r="A94" s="50"/>
      <x:c r="L94" s="50"/>
    </x:row>
    <x:row r="95" ht="15" hidden="0" customHeight="1">
      <x:c r="A95" s="50"/>
      <x:c r="L95" s="50"/>
    </x:row>
    <x:row r="96" ht="15" hidden="0" customHeight="1">
      <x:c r="A96" s="50"/>
      <x:c r="L96" s="50"/>
    </x:row>
    <x:row r="97" ht="15" hidden="0" customHeight="1">
      <x:c r="A97" s="50"/>
      <x:c r="L97" s="50"/>
    </x:row>
    <x:row r="98" ht="15" hidden="0" customHeight="1">
      <x:c r="A98" s="50"/>
      <x:c r="L98" s="50"/>
    </x:row>
    <x:row r="99" ht="15" hidden="0" customHeight="1">
      <x:c r="A99" s="50"/>
      <x:c r="L99" s="50"/>
    </x:row>
    <x:row r="100" ht="15" hidden="0" customHeight="1">
      <x:c r="A100" s="50"/>
      <x:c r="L100" s="50"/>
    </x:row>
    <x:row r="101" ht="15" hidden="0" customHeight="1">
      <x:c r="A101" s="50"/>
      <x:c r="L101" s="50"/>
    </x:row>
    <x:row r="102" ht="15" hidden="0" customHeight="1">
      <x:c r="A102" s="50"/>
      <x:c r="L102" s="50"/>
    </x:row>
    <x:row r="103" ht="15" hidden="0" customHeight="1">
      <x:c r="A103" s="50"/>
      <x:c r="L103" s="50"/>
    </x:row>
    <x:row r="104" ht="15" hidden="0" customHeight="1">
      <x:c r="A104" s="50"/>
      <x:c r="L104" s="50"/>
    </x:row>
    <x:row r="105" ht="15" hidden="0" customHeight="1">
      <x:c r="A105" s="50"/>
      <x:c r="L105" s="50"/>
    </x:row>
    <x:row r="106" ht="15" hidden="0" customHeight="1">
      <x:c r="A106" s="50"/>
      <x:c r="L106" s="50"/>
    </x:row>
    <x:row r="107" ht="15" hidden="0" customHeight="1">
      <x:c r="A107" s="50"/>
      <x:c r="L107" s="50"/>
    </x:row>
    <x:row r="108" ht="15" hidden="0" customHeight="1">
      <x:c r="A108" s="50"/>
      <x:c r="L108" s="50"/>
    </x:row>
    <x:row r="109" ht="15" hidden="0" customHeight="1">
      <x:c r="A109" s="50"/>
      <x:c r="L109" s="50"/>
    </x:row>
    <x:row r="110" ht="15" hidden="0" customHeight="1">
      <x:c r="A110" s="50"/>
      <x:c r="L110" s="50"/>
    </x:row>
    <x:row r="111" ht="15" hidden="0" customHeight="1">
      <x:c r="A111" s="50"/>
      <x:c r="L111" s="50"/>
    </x:row>
    <x:row r="112" ht="15" hidden="0" customHeight="1">
      <x:c r="A112" s="50"/>
      <x:c r="L112" s="50"/>
    </x:row>
    <x:row r="113" ht="15" hidden="0" customHeight="1">
      <x:c r="A113" s="50"/>
      <x:c r="L113" s="50"/>
    </x:row>
    <x:row r="114" ht="15" hidden="0" customHeight="1">
      <x:c r="A114" s="50"/>
      <x:c r="L114" s="50"/>
    </x:row>
    <x:row r="115" ht="15" hidden="0" customHeight="1">
      <x:c r="A115" s="50"/>
      <x:c r="L115" s="50"/>
    </x:row>
    <x:row r="116" ht="15" hidden="0" customHeight="1">
      <x:c r="A116" s="50"/>
      <x:c r="L116" s="50"/>
    </x:row>
    <x:row r="117" ht="15" hidden="0" customHeight="1">
      <x:c r="A117" s="50"/>
      <x:c r="L117" s="50"/>
    </x:row>
    <x:row r="118" ht="15" hidden="0" customHeight="1">
      <x:c r="A118" s="50"/>
      <x:c r="L118" s="50"/>
    </x:row>
    <x:row r="119" ht="15" hidden="0" customHeight="1">
      <x:c r="A119" s="50"/>
      <x:c r="L119" s="50"/>
    </x:row>
    <x:row r="120" ht="15" hidden="0" customHeight="1">
      <x:c r="A120" s="50"/>
      <x:c r="L120" s="50"/>
    </x:row>
    <x:row r="121" ht="15" hidden="0" customHeight="1">
      <x:c r="A121" s="50"/>
      <x:c r="L121" s="50"/>
    </x:row>
    <x:row r="122" ht="15" hidden="0" customHeight="1">
      <x:c r="A122" s="50"/>
      <x:c r="L122" s="50"/>
    </x:row>
    <x:row r="123" ht="15" hidden="0" customHeight="1">
      <x:c r="A123" s="50"/>
      <x:c r="L123" s="50"/>
    </x:row>
    <x:row r="124" ht="15" hidden="0" customHeight="1">
      <x:c r="A124" s="50"/>
      <x:c r="L124" s="50"/>
    </x:row>
    <x:row r="125" ht="15" hidden="0" customHeight="1">
      <x:c r="A125" s="50"/>
      <x:c r="L125" s="50"/>
    </x:row>
    <x:row r="126" ht="15" hidden="0" customHeight="1">
      <x:c r="A126" s="50"/>
      <x:c r="L126" s="50"/>
    </x:row>
    <x:row r="127" ht="15" hidden="0" customHeight="1">
      <x:c r="A127" s="50"/>
      <x:c r="L127" s="50"/>
    </x:row>
    <x:row r="128" ht="15" hidden="0" customHeight="1">
      <x:c r="A128" s="50"/>
      <x:c r="L128" s="50"/>
    </x:row>
    <x:row r="129" ht="15" hidden="0" customHeight="1">
      <x:c r="A129" s="50"/>
      <x:c r="L129" s="50"/>
    </x:row>
    <x:row r="130" ht="15" hidden="0" customHeight="1">
      <x:c r="A130" s="50"/>
      <x:c r="L130" s="50"/>
    </x:row>
    <x:row r="131" ht="15" hidden="0" customHeight="1">
      <x:c r="A131" s="50"/>
      <x:c r="L131" s="50"/>
    </x:row>
    <x:row r="132" ht="15" hidden="0" customHeight="1">
      <x:c r="A132" s="50"/>
      <x:c r="L132" s="50"/>
    </x:row>
    <x:row r="133" ht="15" hidden="0" customHeight="1">
      <x:c r="A133" s="50"/>
      <x:c r="L133" s="50"/>
    </x:row>
    <x:row r="134" ht="15" hidden="0" customHeight="1">
      <x:c r="A134" s="50"/>
      <x:c r="L134" s="50"/>
    </x:row>
    <x:row r="135" ht="15" hidden="0" customHeight="1">
      <x:c r="A135" s="50"/>
      <x:c r="L135" s="50"/>
    </x:row>
    <x:row r="136" ht="15" hidden="0" customHeight="1">
      <x:c r="A136" s="50"/>
      <x:c r="L136" s="50"/>
    </x:row>
    <x:row r="137" ht="15" hidden="0" customHeight="1">
      <x:c r="A137" s="50"/>
      <x:c r="L137" s="50"/>
    </x:row>
    <x:row r="138" ht="15" hidden="0" customHeight="1">
      <x:c r="A138" s="50"/>
      <x:c r="L138" s="50"/>
    </x:row>
    <x:row r="139" ht="15" hidden="0" customHeight="1">
      <x:c r="A139" s="50"/>
      <x:c r="L139" s="50"/>
    </x:row>
    <x:row r="140" ht="15" hidden="0" customHeight="1">
      <x:c r="A140" s="50"/>
      <x:c r="L140" s="50"/>
    </x:row>
    <x:row r="141" ht="15" hidden="0" customHeight="1">
      <x:c r="A141" s="50"/>
      <x:c r="L141" s="50"/>
    </x:row>
    <x:row r="142" ht="15" hidden="0" customHeight="1">
      <x:c r="A142" s="50"/>
      <x:c r="L142" s="50"/>
    </x:row>
    <x:row r="143" ht="15" hidden="0" customHeight="1">
      <x:c r="A143" s="50"/>
      <x:c r="L143" s="50"/>
    </x:row>
    <x:row r="144" ht="15" hidden="0" customHeight="1">
      <x:c r="A144" s="50"/>
      <x:c r="L144" s="50"/>
    </x:row>
    <x:row r="145" ht="15" hidden="0" customHeight="1">
      <x:c r="A145" s="50"/>
      <x:c r="L145" s="50"/>
    </x:row>
    <x:row r="146" ht="15" hidden="0" customHeight="1">
      <x:c r="A146" s="50"/>
      <x:c r="L146" s="50"/>
    </x:row>
    <x:row r="147" ht="15" hidden="0" customHeight="1">
      <x:c r="A147" s="50"/>
      <x:c r="L147" s="50"/>
    </x:row>
    <x:row r="148" ht="15" hidden="0" customHeight="1">
      <x:c r="A148" s="50"/>
      <x:c r="L148" s="50"/>
    </x:row>
    <x:row r="149" ht="15" hidden="0" customHeight="1">
      <x:c r="A149" s="50"/>
      <x:c r="L149" s="50"/>
    </x:row>
    <x:row r="150" ht="15" hidden="0" customHeight="1">
      <x:c r="A150" s="50"/>
      <x:c r="L150" s="50"/>
    </x:row>
    <x:row r="151" ht="15" hidden="0" customHeight="1">
      <x:c r="A151" s="50"/>
      <x:c r="L151" s="50"/>
    </x:row>
    <x:row r="152" ht="15" hidden="0" customHeight="1">
      <x:c r="A152" s="50"/>
      <x:c r="L152" s="50"/>
    </x:row>
    <x:row r="153" ht="15" hidden="0" customHeight="1">
      <x:c r="A153" s="50"/>
      <x:c r="L153" s="50"/>
    </x:row>
    <x:row r="154" ht="15" hidden="0" customHeight="1">
      <x:c r="A154" s="50"/>
      <x:c r="L154" s="50"/>
    </x:row>
    <x:row r="155" ht="15" hidden="0" customHeight="1">
      <x:c r="A155" s="50"/>
      <x:c r="L155" s="50"/>
    </x:row>
    <x:row r="156" ht="15" hidden="0" customHeight="1">
      <x:c r="A156" s="50"/>
      <x:c r="L156" s="50"/>
    </x:row>
    <x:row r="157" ht="15" hidden="0" customHeight="1">
      <x:c r="A157" s="50"/>
      <x:c r="L157" s="50"/>
    </x:row>
    <x:row r="158" ht="15" hidden="0" customHeight="1">
      <x:c r="A158" s="50"/>
      <x:c r="L158" s="50"/>
    </x:row>
    <x:row r="159" ht="15" hidden="0" customHeight="1">
      <x:c r="A159" s="50"/>
      <x:c r="L159" s="50"/>
    </x:row>
    <x:row r="160" ht="15" hidden="0" customHeight="1">
      <x:c r="A160" s="50"/>
      <x:c r="L160" s="50"/>
    </x:row>
    <x:row r="161" ht="15" hidden="0" customHeight="1">
      <x:c r="A161" s="50"/>
      <x:c r="L161" s="50"/>
    </x:row>
    <x:row r="162" ht="15" hidden="0" customHeight="1">
      <x:c r="A162" s="50"/>
      <x:c r="L162" s="50"/>
    </x:row>
    <x:row r="163" ht="15" hidden="0" customHeight="1">
      <x:c r="A163" s="50"/>
      <x:c r="L163" s="50"/>
    </x:row>
    <x:row r="164" ht="15" hidden="0" customHeight="1">
      <x:c r="A164" s="50"/>
      <x:c r="L164" s="50"/>
    </x:row>
    <x:row r="165" ht="15" hidden="0" customHeight="1">
      <x:c r="A165" s="50"/>
      <x:c r="L165" s="50"/>
    </x:row>
    <x:row r="166" ht="15" hidden="0" customHeight="1">
      <x:c r="A166" s="50"/>
      <x:c r="L166" s="50"/>
    </x:row>
    <x:row r="167" ht="15" hidden="0" customHeight="1">
      <x:c r="A167" s="50"/>
      <x:c r="L167" s="50"/>
    </x:row>
    <x:row r="168" ht="15" hidden="0" customHeight="1">
      <x:c r="A168" s="50"/>
      <x:c r="L168" s="50"/>
    </x:row>
    <x:row r="169" ht="15" hidden="0" customHeight="1">
      <x:c r="A169" s="50"/>
      <x:c r="L169" s="50"/>
    </x:row>
    <x:row r="170" ht="15" hidden="0" customHeight="1">
      <x:c r="A170" s="50"/>
      <x:c r="L170" s="50"/>
    </x:row>
    <x:row r="171" ht="15" hidden="0" customHeight="1">
      <x:c r="A171" s="50"/>
      <x:c r="L171" s="50"/>
    </x:row>
    <x:row r="172" ht="15" hidden="0" customHeight="1">
      <x:c r="A172" s="50"/>
      <x:c r="L172" s="50"/>
    </x:row>
    <x:row r="173" ht="15" hidden="0" customHeight="1">
      <x:c r="A173" s="50"/>
      <x:c r="L173" s="50"/>
    </x:row>
    <x:row r="174" ht="15" hidden="0" customHeight="1">
      <x:c r="A174" s="50"/>
      <x:c r="L174" s="50"/>
    </x:row>
    <x:row r="175" ht="15" hidden="0" customHeight="1">
      <x:c r="A175" s="50"/>
      <x:c r="L175" s="50"/>
    </x:row>
    <x:row r="176" ht="15" hidden="0" customHeight="1">
      <x:c r="A176" s="50"/>
      <x:c r="L176" s="50"/>
    </x:row>
    <x:row r="177" ht="15" hidden="0" customHeight="1">
      <x:c r="A177" s="50"/>
      <x:c r="L177" s="50"/>
    </x:row>
    <x:row r="178" ht="15" hidden="0" customHeight="1">
      <x:c r="A178" s="50"/>
      <x:c r="L178" s="50"/>
    </x:row>
    <x:row r="179" ht="15" hidden="0" customHeight="1">
      <x:c r="A179" s="50"/>
      <x:c r="L179" s="50"/>
    </x:row>
    <x:row r="180" ht="15" hidden="0" customHeight="1">
      <x:c r="A180" s="50"/>
      <x:c r="L180" s="50"/>
    </x:row>
    <x:row r="181" ht="15" hidden="0" customHeight="1">
      <x:c r="A181" s="50"/>
      <x:c r="L181" s="50"/>
    </x:row>
    <x:row r="182" ht="15" hidden="0" customHeight="1">
      <x:c r="A182" s="50"/>
      <x:c r="L182" s="50"/>
    </x:row>
    <x:row r="183" ht="15" hidden="0" customHeight="1">
      <x:c r="A183" s="50"/>
      <x:c r="L183" s="50"/>
    </x:row>
    <x:row r="184" ht="15" hidden="0" customHeight="1">
      <x:c r="A184" s="50"/>
      <x:c r="L184" s="50"/>
    </x:row>
    <x:row r="185" ht="15" hidden="0" customHeight="1">
      <x:c r="A185" s="50"/>
      <x:c r="L185" s="50"/>
    </x:row>
    <x:row r="186" ht="15" hidden="0" customHeight="1">
      <x:c r="A186" s="50"/>
      <x:c r="L186" s="50"/>
    </x:row>
    <x:row r="187" ht="15" hidden="0" customHeight="1">
      <x:c r="A187" s="50"/>
      <x:c r="L187" s="50"/>
    </x:row>
    <x:row r="188" ht="15" hidden="0" customHeight="1">
      <x:c r="A188" s="50"/>
      <x:c r="L188" s="50"/>
    </x:row>
    <x:row r="189" ht="15" hidden="0" customHeight="1">
      <x:c r="A189" s="50"/>
      <x:c r="L189" s="50"/>
    </x:row>
    <x:row r="190" ht="15" hidden="0" customHeight="1">
      <x:c r="A190" s="50"/>
      <x:c r="L190" s="50"/>
    </x:row>
    <x:row r="191" ht="15" hidden="0" customHeight="1">
      <x:c r="A191" s="50"/>
      <x:c r="L191" s="50"/>
    </x:row>
    <x:row r="192" ht="15" hidden="0" customHeight="1">
      <x:c r="A192" s="50"/>
      <x:c r="L192" s="50"/>
    </x:row>
    <x:row r="193" ht="15" hidden="0" customHeight="1">
      <x:c r="A193" s="50"/>
      <x:c r="L193" s="50"/>
    </x:row>
    <x:row r="194" ht="15" hidden="0" customHeight="1">
      <x:c r="A194" s="50"/>
      <x:c r="L194" s="50"/>
    </x:row>
    <x:row r="195" ht="15" hidden="0" customHeight="1">
      <x:c r="A195" s="50"/>
      <x:c r="L195" s="50"/>
    </x:row>
    <x:row r="196" ht="15" hidden="0" customHeight="1">
      <x:c r="A196" s="50"/>
      <x:c r="L196" s="50"/>
    </x:row>
    <x:row r="197" ht="15" hidden="0" customHeight="1">
      <x:c r="A197" s="50"/>
      <x:c r="L197" s="50"/>
    </x:row>
    <x:row r="198" ht="15" hidden="0" customHeight="1">
      <x:c r="A198" s="50"/>
      <x:c r="L198" s="50"/>
    </x:row>
    <x:row r="199" ht="15" hidden="0" customHeight="1">
      <x:c r="A199" s="50"/>
      <x:c r="L199" s="50"/>
    </x:row>
    <x:row r="200" ht="15" hidden="0" customHeight="1">
      <x:c r="A200" s="50"/>
      <x:c r="L200" s="50"/>
    </x:row>
    <x:row r="201" ht="15" hidden="0" customHeight="1">
      <x:c r="A201" s="50"/>
      <x:c r="L201" s="50"/>
    </x:row>
    <x:row r="202" ht="15" hidden="0" customHeight="1">
      <x:c r="A202" s="50"/>
      <x:c r="L202" s="50"/>
    </x:row>
    <x:row r="203" ht="15" hidden="0" customHeight="1">
      <x:c r="A203" s="50"/>
      <x:c r="L203" s="50"/>
    </x:row>
    <x:row r="204" ht="15" hidden="0" customHeight="1">
      <x:c r="A204" s="50"/>
      <x:c r="L204" s="50"/>
    </x:row>
    <x:row r="205" ht="15" hidden="0" customHeight="1">
      <x:c r="A205" s="50"/>
      <x:c r="L205" s="50"/>
    </x:row>
    <x:row r="206" ht="15" hidden="0" customHeight="1">
      <x:c r="A206" s="50"/>
      <x:c r="L206" s="50"/>
    </x:row>
    <x:row r="207" ht="15" hidden="0" customHeight="1">
      <x:c r="A207" s="50"/>
      <x:c r="L207" s="50"/>
    </x:row>
    <x:row r="208" ht="15" hidden="0" customHeight="1">
      <x:c r="A208" s="50"/>
      <x:c r="L208" s="50"/>
    </x:row>
    <x:row r="209" ht="15" hidden="0" customHeight="1">
      <x:c r="A209" s="50"/>
      <x:c r="L209" s="50"/>
    </x:row>
    <x:row r="210" ht="15" hidden="0" customHeight="1">
      <x:c r="A210" s="50"/>
      <x:c r="L210" s="50"/>
    </x:row>
    <x:row r="211" ht="15" hidden="0" customHeight="1">
      <x:c r="A211" s="50"/>
      <x:c r="L211" s="50"/>
    </x:row>
    <x:row r="212" ht="15" hidden="0" customHeight="1">
      <x:c r="A212" s="50"/>
      <x:c r="L212" s="50"/>
    </x:row>
    <x:row r="213" ht="15" hidden="0" customHeight="1">
      <x:c r="A213" s="50"/>
      <x:c r="L213" s="50"/>
    </x:row>
    <x:row r="214" ht="15" hidden="0" customHeight="1">
      <x:c r="A214" s="50"/>
      <x:c r="L214" s="50"/>
    </x:row>
    <x:row r="215" ht="15" hidden="0" customHeight="1">
      <x:c r="A215" s="50"/>
      <x:c r="L215" s="50"/>
    </x:row>
    <x:row r="216" ht="15" hidden="0" customHeight="1">
      <x:c r="A216" s="50"/>
      <x:c r="L216" s="50"/>
    </x:row>
    <x:row r="217" ht="15" hidden="0" customHeight="1">
      <x:c r="A217" s="50"/>
      <x:c r="L217" s="50"/>
    </x:row>
    <x:row r="218" ht="15" hidden="0" customHeight="1">
      <x:c r="A218" s="50"/>
      <x:c r="L218" s="50"/>
    </x:row>
    <x:row r="219" ht="15" hidden="0" customHeight="1">
      <x:c r="A219" s="50"/>
      <x:c r="L219" s="50"/>
    </x:row>
    <x:row r="220" ht="15" hidden="0" customHeight="1">
      <x:c r="A220" s="50"/>
      <x:c r="L220" s="50"/>
    </x:row>
    <x:row r="221" ht="15" hidden="0" customHeight="1">
      <x:c r="A221" s="50"/>
      <x:c r="L221" s="50"/>
    </x:row>
    <x:row r="222" ht="15" hidden="0" customHeight="1">
      <x:c r="A222" s="50"/>
      <x:c r="L222" s="50"/>
    </x:row>
    <x:row r="223" ht="15" hidden="0" customHeight="1">
      <x:c r="A223" s="50"/>
      <x:c r="L223" s="50"/>
    </x:row>
    <x:row r="224" ht="15" hidden="0" customHeight="1">
      <x:c r="A224" s="50"/>
      <x:c r="L224" s="50"/>
    </x:row>
    <x:row r="225" ht="15" hidden="0" customHeight="1">
      <x:c r="A225" s="50"/>
      <x:c r="L225" s="50"/>
    </x:row>
    <x:row r="226" ht="15" hidden="0" customHeight="1">
      <x:c r="A226" s="50"/>
      <x:c r="L226" s="50"/>
    </x:row>
    <x:row r="227" ht="15" hidden="0" customHeight="1">
      <x:c r="A227" s="50"/>
      <x:c r="L227" s="50"/>
    </x:row>
    <x:row r="228" ht="15" hidden="0" customHeight="1">
      <x:c r="A228" s="50"/>
      <x:c r="L228" s="50"/>
    </x:row>
    <x:row r="229" ht="15" hidden="0" customHeight="1">
      <x:c r="A229" s="50"/>
      <x:c r="L229" s="50"/>
    </x:row>
    <x:row r="230" ht="15" hidden="0" customHeight="1">
      <x:c r="A230" s="50"/>
      <x:c r="L230" s="50"/>
    </x:row>
    <x:row r="231" ht="15" hidden="0" customHeight="1">
      <x:c r="A231" s="50"/>
      <x:c r="L231" s="50"/>
    </x:row>
    <x:row r="232" ht="15" hidden="0" customHeight="1">
      <x:c r="A232" s="50"/>
      <x:c r="L232" s="50"/>
    </x:row>
    <x:row r="233" ht="15" hidden="0" customHeight="1">
      <x:c r="A233" s="50"/>
      <x:c r="L233" s="50"/>
    </x:row>
    <x:row r="234" ht="15" hidden="0" customHeight="1">
      <x:c r="A234" s="50"/>
      <x:c r="L234" s="50"/>
    </x:row>
    <x:row r="235" ht="15" hidden="0" customHeight="1">
      <x:c r="A235" s="50"/>
      <x:c r="L235" s="50"/>
    </x:row>
    <x:row r="236" ht="15" hidden="0" customHeight="1">
      <x:c r="A236" s="50"/>
      <x:c r="L236" s="50"/>
    </x:row>
    <x:row r="237" ht="15" hidden="0" customHeight="1">
      <x:c r="A237" s="50"/>
      <x:c r="L237" s="50"/>
    </x:row>
    <x:row r="238" ht="15" hidden="0" customHeight="1">
      <x:c r="A238" s="50"/>
      <x:c r="L238" s="50"/>
    </x:row>
    <x:row r="239" ht="15" hidden="0" customHeight="1">
      <x:c r="A239" s="50"/>
      <x:c r="L239" s="50"/>
    </x:row>
    <x:row r="240" ht="15" hidden="0" customHeight="1">
      <x:c r="A240" s="50"/>
      <x:c r="L240" s="50"/>
    </x:row>
    <x:row r="241" ht="15" hidden="0" customHeight="1">
      <x:c r="A241" s="50"/>
      <x:c r="L241" s="50"/>
    </x:row>
    <x:row r="242" ht="15" hidden="0" customHeight="1">
      <x:c r="A242" s="50"/>
      <x:c r="L242" s="50"/>
    </x:row>
    <x:row r="243" ht="15" hidden="0" customHeight="1">
      <x:c r="A243" s="50"/>
      <x:c r="L243" s="50"/>
    </x:row>
    <x:row r="244" ht="15" hidden="0" customHeight="1">
      <x:c r="A244" s="50"/>
      <x:c r="L244" s="50"/>
    </x:row>
    <x:row r="245" ht="15" hidden="0" customHeight="1">
      <x:c r="A245" s="50"/>
      <x:c r="L245" s="50"/>
    </x:row>
    <x:row r="246" ht="15" hidden="0" customHeight="1">
      <x:c r="A246" s="50"/>
      <x:c r="L246" s="50"/>
    </x:row>
    <x:row r="247" ht="15" hidden="0" customHeight="1">
      <x:c r="A247" s="50"/>
      <x:c r="L247" s="50"/>
    </x:row>
    <x:row r="248" ht="15" hidden="0" customHeight="1">
      <x:c r="A248" s="50"/>
      <x:c r="L248" s="50"/>
    </x:row>
    <x:row r="249" ht="15" hidden="0" customHeight="1">
      <x:c r="A249" s="50"/>
      <x:c r="L249" s="50"/>
    </x:row>
    <x:row r="250" ht="15" hidden="0" customHeight="1">
      <x:c r="A250" s="50"/>
      <x:c r="L250" s="50"/>
    </x:row>
    <x:row r="251" ht="15" hidden="0" customHeight="1">
      <x:c r="A251" s="50"/>
      <x:c r="L251" s="50"/>
    </x:row>
    <x:row r="252" ht="15" hidden="0" customHeight="1">
      <x:c r="A252" s="50"/>
      <x:c r="L252" s="50"/>
    </x:row>
    <x:row r="253" ht="15" hidden="0" customHeight="1">
      <x:c r="A253" s="50"/>
      <x:c r="L253" s="50"/>
    </x:row>
    <x:row r="254" ht="15" hidden="0" customHeight="1">
      <x:c r="A254" s="50"/>
      <x:c r="L254" s="50"/>
    </x:row>
    <x:row r="255" ht="15" hidden="0" customHeight="1">
      <x:c r="A255" s="50"/>
      <x:c r="L255" s="50"/>
    </x:row>
    <x:row r="256" ht="15" hidden="0" customHeight="1">
      <x:c r="A256" s="50"/>
      <x:c r="L256" s="50"/>
    </x:row>
    <x:row r="257" ht="15" hidden="0" customHeight="1">
      <x:c r="A257" s="50"/>
      <x:c r="L257" s="50"/>
    </x:row>
    <x:row r="258" ht="15" hidden="0" customHeight="1">
      <x:c r="A258" s="50"/>
      <x:c r="L258" s="50"/>
    </x:row>
    <x:row r="259" ht="15" hidden="0" customHeight="1">
      <x:c r="A259" s="50"/>
      <x:c r="L259" s="50"/>
    </x:row>
    <x:row r="260" ht="15" hidden="0" customHeight="1">
      <x:c r="A260" s="50"/>
      <x:c r="L260" s="50"/>
    </x:row>
    <x:row r="261" ht="15" hidden="0" customHeight="1">
      <x:c r="A261" s="50"/>
      <x:c r="L261" s="50"/>
    </x:row>
    <x:row r="262" ht="15" hidden="0" customHeight="1">
      <x:c r="A262" s="50"/>
      <x:c r="L262" s="50"/>
    </x:row>
    <x:row r="263" ht="15" hidden="0" customHeight="1">
      <x:c r="A263" s="50"/>
      <x:c r="L263" s="50"/>
    </x:row>
    <x:row r="264" ht="15" hidden="0" customHeight="1">
      <x:c r="A264" s="50"/>
      <x:c r="L264" s="50"/>
    </x:row>
    <x:row r="265" ht="15" hidden="0" customHeight="1">
      <x:c r="A265" s="50"/>
      <x:c r="L265" s="50"/>
    </x:row>
    <x:row r="266" ht="15" hidden="0" customHeight="1">
      <x:c r="A266" s="50"/>
      <x:c r="L266" s="50"/>
    </x:row>
    <x:row r="267" ht="15" hidden="0" customHeight="1">
      <x:c r="A267" s="50"/>
      <x:c r="L267" s="50"/>
    </x:row>
    <x:row r="268" ht="15" hidden="0" customHeight="1">
      <x:c r="A268" s="50"/>
      <x:c r="L268" s="50"/>
    </x:row>
    <x:row r="269" ht="15" hidden="0" customHeight="1">
      <x:c r="A269" s="50"/>
      <x:c r="L269" s="50"/>
    </x:row>
    <x:row r="270" ht="15" hidden="0" customHeight="1">
      <x:c r="A270" s="50"/>
      <x:c r="L270" s="50"/>
    </x:row>
    <x:row r="271" ht="15" hidden="0" customHeight="1">
      <x:c r="A271" s="50"/>
      <x:c r="L271" s="50"/>
    </x:row>
    <x:row r="272" ht="15" hidden="0" customHeight="1">
      <x:c r="A272" s="50"/>
      <x:c r="L272" s="50"/>
    </x:row>
    <x:row r="273" ht="15" hidden="0" customHeight="1">
      <x:c r="A273" s="50"/>
      <x:c r="L273" s="50"/>
    </x:row>
    <x:row r="274" ht="15" hidden="0" customHeight="1">
      <x:c r="A274" s="50"/>
      <x:c r="L274" s="50"/>
    </x:row>
    <x:row r="275" ht="15" hidden="0" customHeight="1">
      <x:c r="A275" s="50"/>
      <x:c r="L275" s="50"/>
    </x:row>
    <x:row r="276" ht="15" hidden="0" customHeight="1">
      <x:c r="A276" s="50"/>
      <x:c r="L276" s="50"/>
    </x:row>
    <x:row r="277" ht="15" hidden="0" customHeight="1">
      <x:c r="A277" s="50"/>
      <x:c r="L277" s="50"/>
    </x:row>
    <x:row r="278" ht="15" hidden="0" customHeight="1">
      <x:c r="A278" s="50"/>
      <x:c r="L278" s="50"/>
    </x:row>
    <x:row r="279" ht="15" hidden="0" customHeight="1">
      <x:c r="A279" s="50"/>
      <x:c r="L279" s="50"/>
    </x:row>
    <x:row r="280" ht="15" hidden="0" customHeight="1">
      <x:c r="A280" s="50"/>
      <x:c r="L280" s="50"/>
    </x:row>
    <x:row r="281" ht="15" hidden="0" customHeight="1">
      <x:c r="A281" s="50"/>
      <x:c r="L281" s="50"/>
    </x:row>
    <x:row r="282" ht="15" hidden="0" customHeight="1">
      <x:c r="A282" s="50"/>
      <x:c r="L282" s="50"/>
    </x:row>
    <x:row r="283" ht="15" hidden="0" customHeight="1">
      <x:c r="A283" s="50"/>
      <x:c r="L283" s="50"/>
    </x:row>
    <x:row r="284" ht="15" hidden="0" customHeight="1">
      <x:c r="A284" s="50"/>
      <x:c r="L284" s="50"/>
    </x:row>
    <x:row r="285" ht="15" hidden="0" customHeight="1">
      <x:c r="A285" s="50"/>
      <x:c r="L285" s="50"/>
    </x:row>
    <x:row r="286" ht="15" hidden="0" customHeight="1">
      <x:c r="A286" s="50"/>
      <x:c r="L286" s="50"/>
    </x:row>
    <x:row r="287" ht="15" hidden="0" customHeight="1">
      <x:c r="A287" s="50"/>
      <x:c r="L287" s="50"/>
    </x:row>
    <x:row r="288" ht="15" hidden="0" customHeight="1">
      <x:c r="A288" s="50"/>
      <x:c r="L288" s="50"/>
    </x:row>
    <x:row r="289" ht="15" hidden="0" customHeight="1">
      <x:c r="A289" s="50"/>
      <x:c r="L289" s="50"/>
    </x:row>
    <x:row r="290" ht="15" hidden="0" customHeight="1">
      <x:c r="A290" s="50"/>
      <x:c r="L290" s="50"/>
    </x:row>
    <x:row r="291" ht="15" hidden="0" customHeight="1">
      <x:c r="A291" s="50"/>
      <x:c r="L291" s="50"/>
    </x:row>
    <x:row r="292" ht="15" hidden="0" customHeight="1">
      <x:c r="A292" s="50"/>
      <x:c r="L292" s="50"/>
    </x:row>
    <x:row r="293" ht="15" hidden="0" customHeight="1">
      <x:c r="A293" s="50"/>
      <x:c r="L293" s="50"/>
    </x:row>
    <x:row r="294" ht="15" hidden="0" customHeight="1">
      <x:c r="A294" s="50"/>
      <x:c r="L294" s="50"/>
    </x:row>
    <x:row r="295" ht="15" hidden="0" customHeight="1">
      <x:c r="A295" s="50"/>
      <x:c r="L295" s="50"/>
    </x:row>
    <x:row r="296" ht="15" hidden="0" customHeight="1">
      <x:c r="A296" s="50"/>
      <x:c r="L296" s="50"/>
    </x:row>
    <x:row r="297" ht="15" hidden="0" customHeight="1">
      <x:c r="A297" s="50"/>
      <x:c r="L297" s="50"/>
    </x:row>
    <x:row r="298" ht="15" hidden="0" customHeight="1">
      <x:c r="A298" s="50"/>
      <x:c r="L298" s="50"/>
    </x:row>
    <x:row r="299" ht="15" hidden="0" customHeight="1">
      <x:c r="A299" s="50"/>
      <x:c r="L299" s="50"/>
    </x:row>
    <x:row r="300" ht="15" hidden="0" customHeight="1">
      <x:c r="A300" s="50"/>
      <x:c r="L300" s="50"/>
    </x:row>
    <x:row r="301" ht="15" hidden="0" customHeight="1">
      <x:c r="A301" s="50"/>
      <x:c r="L301" s="50"/>
    </x:row>
    <x:row r="302" ht="15" hidden="0" customHeight="1">
      <x:c r="A302" s="50"/>
      <x:c r="L302" s="50"/>
    </x:row>
    <x:row r="303" ht="15" hidden="0" customHeight="1">
      <x:c r="A303" s="50"/>
      <x:c r="L303" s="50"/>
    </x:row>
    <x:row r="304" ht="15" hidden="0" customHeight="1">
      <x:c r="A304" s="50"/>
      <x:c r="L304" s="50"/>
    </x:row>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2">
    <x:dataValidation type="list" sqref="D5:D304">
      <x:formula1>Dropdowns!$A$2:$A$7</x:formula1>
    </x:dataValidation>
    <x:dataValidation type="list" sqref="J5:J304">
      <x:formula1>Dropdowns!$C$2:$C$6</x:formula1>
    </x:dataValidation>
  </x:dataValidations>
  <x:pageMargins left="0.7" right="0.7" top="0.75" bottom="0.75" header="0.3" footer="0.3"/>
  <x:tableParts count="1">
    <x:tablePart xmlns:r="http://schemas.openxmlformats.org/officeDocument/2006/relationships" r:id="Reb27fa00a3564a8b"/>
  </x:tableParts>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10" hidden="0" customWidth="1"/>
    <x:col min="5" max="5" width="12" hidden="0" customWidth="1"/>
    <x:col min="6" max="6" width="13" hidden="0" customWidth="1"/>
    <x:col min="7" max="7" width="12" hidden="0" customWidth="1"/>
    <x:col min="8" max="8" width="18" hidden="0" customWidth="1"/>
    <x:col min="9" max="9" width="36" hidden="0" customWidth="1"/>
    <x:col min="10" max="10" width="36" hidden="0" customWidth="1"/>
    <x:col min="11" max="11" width="42" hidden="0" customWidth="1"/>
    <x:col min="12" max="12" width="42" hidden="0" customWidth="1"/>
  </x:cols>
  <x:sheetData>
    <x:row r="1" ht="30" hidden="0" customHeight="1">
      <x:c r="A1" s="5" t="str">
        <x:v>Weekly Review</x:v>
      </x:c>
      <x:c r="B1" s="5"/>
      <x:c r="C1" s="5"/>
      <x:c r="D1" s="5"/>
      <x:c r="E1" s="5"/>
      <x:c r="F1" s="5"/>
      <x:c r="G1" s="5"/>
      <x:c r="H1" s="5"/>
      <x:c r="I1" s="34"/>
      <x:c r="J1" s="34"/>
      <x:c r="K1" s="34"/>
      <x:c r="L1" s="34"/>
    </x:row>
    <x:row r="2" ht="38" hidden="0" customHeight="1">
      <x:c r="A2" s="13" t="str">
        <x:v>Use every Friday. Summarize signal, blockers, and next week’s focus.</x:v>
      </x:c>
      <x:c r="B2" s="13"/>
      <x:c r="C2" s="13"/>
      <x:c r="D2" s="13"/>
      <x:c r="E2" s="13"/>
      <x:c r="F2" s="13"/>
      <x:c r="G2" s="13"/>
      <x:c r="H2" s="13"/>
    </x:row>
    <x:row r="3"/>
    <x:row r="4" ht="15" hidden="0" customHeight="1">
      <x:c r="A4" s="22" t="str">
        <x:v>Week Of</x:v>
      </x:c>
      <x:c r="B4" s="22" t="str">
        <x:v>New Targets</x:v>
      </x:c>
      <x:c r="C4" s="22" t="str">
        <x:v>Outreach Sent</x:v>
      </x:c>
      <x:c r="D4" s="22" t="str">
        <x:v>Replies</x:v>
      </x:c>
      <x:c r="E4" s="22" t="str">
        <x:v>Calls Booked</x:v>
      </x:c>
      <x:c r="F4" s="22" t="str">
        <x:v>Opportunities</x:v>
      </x:c>
      <x:c r="G4" s="22" t="str">
        <x:v>Closed Paid</x:v>
      </x:c>
      <x:c r="H4" s="22" t="str">
        <x:v>Best Lane</x:v>
      </x:c>
      <x:c r="I4" s="22" t="str">
        <x:v>Best Hook</x:v>
      </x:c>
      <x:c r="J4" s="22" t="str">
        <x:v>Repeated Objection</x:v>
      </x:c>
      <x:c r="K4" s="22" t="str">
        <x:v>Messaging Adjustment</x:v>
      </x:c>
      <x:c r="L4" s="22" t="str">
        <x:v>Next Week Focus</x:v>
      </x:c>
    </x:row>
    <x:row r="5" ht="15" hidden="0" customHeight="1">
      <x:c r="A5" s="50" t="n">
        <x:v>46146</x:v>
      </x:c>
    </x:row>
    <x:row r="6" ht="15" hidden="0" customHeight="1">
      <x:c r="A6" s="50"/>
    </x:row>
    <x:row r="7" ht="15" hidden="0" customHeight="1">
      <x:c r="A7" s="50"/>
    </x:row>
    <x:row r="8" ht="15" hidden="0" customHeight="1">
      <x:c r="A8" s="50"/>
    </x:row>
    <x:row r="9" ht="15" hidden="0" customHeight="1">
      <x:c r="A9" s="50"/>
    </x:row>
    <x:row r="10" ht="15" hidden="0" customHeight="1">
      <x:c r="A10" s="50"/>
    </x:row>
    <x:row r="11" ht="15" hidden="0" customHeight="1">
      <x:c r="A11" s="50"/>
    </x:row>
    <x:row r="12" ht="15" hidden="0" customHeight="1">
      <x:c r="A12" s="50"/>
    </x:row>
    <x:row r="13" ht="15" hidden="0" customHeight="1">
      <x:c r="A13" s="50"/>
    </x:row>
    <x:row r="14" ht="15" hidden="0" customHeight="1">
      <x:c r="A14" s="50"/>
    </x:row>
    <x:row r="15" ht="15" hidden="0" customHeight="1">
      <x:c r="A15" s="50"/>
    </x:row>
    <x:row r="16" ht="15" hidden="0" customHeight="1">
      <x:c r="A16" s="50"/>
    </x:row>
    <x:row r="17" ht="15" hidden="0" customHeight="1">
      <x:c r="A17" s="50"/>
    </x:row>
    <x:row r="18" ht="15" hidden="0" customHeight="1">
      <x:c r="A18" s="50"/>
    </x:row>
    <x:row r="19" ht="15" hidden="0" customHeight="1">
      <x:c r="A19" s="50"/>
    </x:row>
    <x:row r="20" ht="15" hidden="0" customHeight="1">
      <x:c r="A20" s="50"/>
    </x:row>
    <x:row r="21" ht="15" hidden="0" customHeight="1">
      <x:c r="A21" s="50"/>
    </x:row>
    <x:row r="22" ht="15" hidden="0" customHeight="1">
      <x:c r="A22" s="50"/>
    </x:row>
    <x:row r="23" ht="15" hidden="0" customHeight="1">
      <x:c r="A23" s="50"/>
    </x:row>
    <x:row r="24" ht="15" hidden="0" customHeight="1">
      <x:c r="A24" s="50"/>
    </x:row>
    <x:row r="25" ht="15" hidden="0" customHeight="1">
      <x:c r="A25" s="50"/>
    </x:row>
    <x:row r="26" ht="15" hidden="0" customHeight="1">
      <x:c r="A26" s="50"/>
    </x:row>
    <x:row r="27" ht="15" hidden="0" customHeight="1">
      <x:c r="A27" s="50"/>
    </x:row>
    <x:row r="28" ht="15" hidden="0" customHeight="1">
      <x:c r="A28" s="50"/>
    </x:row>
    <x:row r="29" ht="15" hidden="0" customHeight="1">
      <x:c r="A29" s="50"/>
    </x:row>
    <x:row r="30" ht="15" hidden="0" customHeight="1">
      <x:c r="A30" s="50"/>
    </x:row>
    <x:row r="31" ht="15" hidden="0" customHeight="1">
      <x:c r="A31" s="50"/>
    </x:row>
    <x:row r="32" ht="15" hidden="0" customHeight="1">
      <x:c r="A32" s="50"/>
    </x:row>
    <x:row r="33" ht="15" hidden="0" customHeight="1">
      <x:c r="A33" s="50"/>
    </x:row>
    <x:row r="34" ht="15" hidden="0" customHeight="1">
      <x:c r="A34" s="50"/>
    </x:row>
    <x:row r="35" ht="15" hidden="0" customHeight="1">
      <x:c r="A35" s="50"/>
    </x:row>
    <x:row r="36" ht="15" hidden="0" customHeight="1">
      <x:c r="A36" s="50"/>
    </x:row>
    <x:row r="37" ht="15" hidden="0" customHeight="1">
      <x:c r="A37" s="50"/>
    </x:row>
    <x:row r="38" ht="15" hidden="0" customHeight="1">
      <x:c r="A38" s="50"/>
    </x:row>
    <x:row r="39" ht="15" hidden="0" customHeight="1">
      <x:c r="A39" s="50"/>
    </x:row>
    <x:row r="40" ht="15" hidden="0" customHeight="1">
      <x:c r="A40" s="50"/>
    </x:row>
    <x:row r="41" ht="15" hidden="0" customHeight="1">
      <x:c r="A41" s="50"/>
    </x:row>
    <x:row r="42" ht="15" hidden="0" customHeight="1">
      <x:c r="A42" s="50"/>
    </x:row>
    <x:row r="43" ht="15" hidden="0" customHeight="1">
      <x:c r="A43" s="50"/>
    </x:row>
    <x:row r="44" ht="15" hidden="0" customHeight="1">
      <x:c r="A44" s="50"/>
    </x:row>
    <x:row r="45" ht="15" hidden="0" customHeight="1">
      <x:c r="A45" s="50"/>
    </x:row>
    <x:row r="46" ht="15" hidden="0" customHeight="1">
      <x:c r="A46" s="50"/>
    </x:row>
    <x:row r="47" ht="15" hidden="0" customHeight="1">
      <x:c r="A47" s="50"/>
    </x:row>
    <x:row r="48" ht="15" hidden="0" customHeight="1">
      <x:c r="A48" s="50"/>
    </x:row>
    <x:row r="49" ht="15" hidden="0" customHeight="1">
      <x:c r="A49" s="50"/>
    </x:row>
    <x:row r="50" ht="15" hidden="0" customHeight="1">
      <x:c r="A50" s="50"/>
    </x:row>
    <x:row r="51" ht="15" hidden="0" customHeight="1">
      <x:c r="A51" s="50"/>
    </x:row>
    <x:row r="52" ht="15" hidden="0" customHeight="1">
      <x:c r="A52" s="50"/>
    </x:row>
    <x:row r="53" ht="15" hidden="0" customHeight="1">
      <x:c r="A53" s="50"/>
    </x:row>
    <x:row r="54" ht="15" hidden="0" customHeight="1">
      <x:c r="A54" s="50"/>
    </x:row>
    <x:row r="55" ht="15" hidden="0" customHeight="1">
      <x:c r="A55" s="50"/>
    </x:row>
    <x:row r="56" ht="15" hidden="0" customHeight="1">
      <x:c r="A56" s="50"/>
    </x:row>
    <x:row r="57" ht="15" hidden="0" customHeight="1">
      <x:c r="A57" s="50"/>
    </x:row>
    <x:row r="58" ht="15" hidden="0" customHeight="1">
      <x:c r="A58" s="50"/>
    </x:row>
    <x:row r="59" ht="15" hidden="0" customHeight="1">
      <x:c r="A59" s="50"/>
    </x:row>
    <x:row r="60" ht="15" hidden="0" customHeight="1">
      <x:c r="A60" s="50"/>
    </x:row>
    <x:row r="61" ht="15" hidden="0" customHeight="1">
      <x:c r="A61" s="50"/>
    </x:row>
    <x:row r="62" ht="15" hidden="0" customHeight="1">
      <x:c r="A62" s="50"/>
    </x:row>
    <x:row r="63" ht="15" hidden="0" customHeight="1">
      <x:c r="A63" s="50"/>
    </x:row>
    <x:row r="64" ht="15" hidden="0" customHeight="1">
      <x:c r="A64" s="50"/>
    </x:row>
    <x:row r="65" ht="15" hidden="0" customHeight="1">
      <x:c r="A65" s="50"/>
    </x:row>
    <x:row r="66" ht="15" hidden="0" customHeight="1">
      <x:c r="A66" s="50"/>
    </x:row>
    <x:row r="67" ht="15" hidden="0" customHeight="1">
      <x:c r="A67" s="50"/>
    </x:row>
    <x:row r="68" ht="15" hidden="0" customHeight="1">
      <x:c r="A68" s="50"/>
    </x:row>
    <x:row r="69" ht="15" hidden="0" customHeight="1">
      <x:c r="A69" s="50"/>
    </x:row>
    <x:row r="70" ht="15" hidden="0" customHeight="1">
      <x:c r="A70" s="50"/>
    </x:row>
    <x:row r="71" ht="15" hidden="0" customHeight="1">
      <x:c r="A71" s="50"/>
    </x:row>
    <x:row r="72" ht="15" hidden="0" customHeight="1">
      <x:c r="A72" s="50"/>
    </x:row>
    <x:row r="73" ht="15" hidden="0" customHeight="1">
      <x:c r="A73" s="50"/>
    </x:row>
    <x:row r="74" ht="15" hidden="0" customHeight="1">
      <x:c r="A74" s="50"/>
    </x:row>
    <x:row r="75" ht="15" hidden="0" customHeight="1">
      <x:c r="A75" s="50"/>
    </x:row>
    <x:row r="76" ht="15" hidden="0" customHeight="1">
      <x:c r="A76" s="50"/>
    </x:row>
    <x:row r="77" ht="15" hidden="0" customHeight="1">
      <x:c r="A77" s="50"/>
    </x:row>
    <x:row r="78" ht="15" hidden="0" customHeight="1">
      <x:c r="A78" s="50"/>
    </x:row>
    <x:row r="79" ht="15" hidden="0" customHeight="1">
      <x:c r="A79" s="50"/>
    </x:row>
    <x:row r="80" ht="15" hidden="0" customHeight="1">
      <x:c r="A80" s="50"/>
    </x:row>
    <x:row r="81" ht="15" hidden="0" customHeight="1">
      <x:c r="A81" s="50"/>
    </x:row>
    <x:row r="82" ht="15" hidden="0" customHeight="1">
      <x:c r="A82" s="50"/>
    </x:row>
    <x:row r="83" ht="15" hidden="0" customHeight="1">
      <x:c r="A83" s="50"/>
    </x:row>
    <x:row r="84" ht="15" hidden="0" customHeight="1">
      <x:c r="A84" s="50"/>
    </x:row>
    <x:row r="85" ht="15" hidden="0" customHeight="1">
      <x:c r="A85" s="50"/>
    </x:row>
    <x:row r="86" ht="15" hidden="0" customHeight="1">
      <x:c r="A86" s="50"/>
    </x:row>
    <x:row r="87" ht="15" hidden="0" customHeight="1">
      <x:c r="A87" s="50"/>
    </x:row>
    <x:row r="88" ht="15" hidden="0" customHeight="1">
      <x:c r="A88" s="50"/>
    </x:row>
    <x:row r="89" ht="15" hidden="0" customHeight="1">
      <x:c r="A89" s="50"/>
    </x:row>
    <x:row r="90" ht="15" hidden="0" customHeight="1">
      <x:c r="A90" s="50"/>
    </x:row>
    <x:row r="91" ht="15" hidden="0" customHeight="1">
      <x:c r="A91" s="50"/>
    </x:row>
    <x:row r="92" ht="15" hidden="0" customHeight="1">
      <x:c r="A92" s="50"/>
    </x:row>
    <x:row r="93" ht="15" hidden="0" customHeight="1">
      <x:c r="A93" s="50"/>
    </x:row>
    <x:row r="94" ht="15" hidden="0" customHeight="1">
      <x:c r="A94" s="50"/>
    </x:row>
    <x:row r="95" ht="15" hidden="0" customHeight="1">
      <x:c r="A95" s="50"/>
    </x:row>
    <x:row r="96" ht="15" hidden="0" customHeight="1">
      <x:c r="A96" s="50"/>
    </x:row>
    <x:row r="97" ht="15" hidden="0" customHeight="1">
      <x:c r="A97" s="50"/>
    </x:row>
    <x:row r="98" ht="15" hidden="0" customHeight="1">
      <x:c r="A98" s="50"/>
    </x:row>
    <x:row r="99" ht="15" hidden="0" customHeight="1">
      <x:c r="A99" s="50"/>
    </x:row>
    <x:row r="100" ht="15" hidden="0" customHeight="1">
      <x:c r="A100" s="50"/>
    </x:row>
    <x:row r="101" ht="15" hidden="0" customHeight="1">
      <x:c r="A101" s="50"/>
    </x:row>
    <x:row r="102" ht="15" hidden="0" customHeight="1">
      <x:c r="A102" s="50"/>
    </x:row>
    <x:row r="103" ht="15" hidden="0" customHeight="1">
      <x:c r="A103" s="50"/>
    </x:row>
    <x:row r="104" ht="15" hidden="0" customHeight="1">
      <x:c r="A104" s="50"/>
    </x:row>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pageMargins left="0.7" right="0.7" top="0.75" bottom="0.75" header="0.3" footer="0.3"/>
  <x:tableParts count="1">
    <x:tablePart xmlns:r="http://schemas.openxmlformats.org/officeDocument/2006/relationships" r:id="R1a9b4320f88448f1"/>
  </x:tableParts>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30" hidden="0" customHeight="1">
      <x:c r="A1" s="5" t="str">
        <x:v>Dropdown Lists</x:v>
      </x:c>
      <x:c r="B1" s="5"/>
      <x:c r="C1" s="5"/>
      <x:c r="D1" s="5"/>
      <x:c r="E1" s="5"/>
      <x:c r="F1" s="5"/>
      <x:c r="G1" s="5"/>
      <x:c r="H1" s="5"/>
      <x:c r="I1" s="40" t="str">
        <x:v>Owner</x:v>
      </x:c>
    </x:row>
    <x:row r="2" ht="38" hidden="0" customHeight="1">
      <x:c r="A2" s="13" t="str">
        <x:v>Used for data validation. Edit cautiously.</x:v>
      </x:c>
      <x:c r="B2" s="13"/>
      <x:c r="C2" s="13"/>
      <x:c r="D2" s="13"/>
      <x:c r="E2" s="13"/>
      <x:c r="F2" s="13"/>
      <x:c r="G2" s="13"/>
      <x:c r="H2" s="13"/>
      <x:c r="I2" t="str">
        <x:v>Christopher</x:v>
      </x:c>
    </x:row>
    <x:row r="3" ht="15" hidden="0" customHeight="1">
      <x:c r="A3" t="str">
        <x:v>Partner</x:v>
      </x:c>
      <x:c r="B3" t="str">
        <x:v>Queued</x:v>
      </x:c>
      <x:c r="C3" t="n">
        <x:v>2</x:v>
      </x:c>
      <x:c r="D3" t="str">
        <x:v>Email</x:v>
      </x:c>
      <x:c r="E3" t="str">
        <x:v>Follow-up 1</x:v>
      </x:c>
      <x:c r="F3" t="str">
        <x:v>Positive Reply</x:v>
      </x:c>
      <x:c r="G3" t="str">
        <x:v>Discovery</x:v>
      </x:c>
      <x:c r="H3" t="str">
        <x:v>AI Authority Readiness</x:v>
      </x:c>
      <x:c r="I3" t="str">
        <x:v>Advisor</x:v>
      </x:c>
    </x:row>
    <x:row r="4" ht="15" hidden="0" customHeight="1">
      <x:c r="A4" t="str">
        <x:v>Strategic/Funder</x:v>
      </x:c>
      <x:c r="B4" t="str">
        <x:v>Contacted</x:v>
      </x:c>
      <x:c r="C4" t="n">
        <x:v>3</x:v>
      </x:c>
      <x:c r="D4" t="str">
        <x:v>Warm Intro</x:v>
      </x:c>
      <x:c r="E4" t="str">
        <x:v>Follow-up 2</x:v>
      </x:c>
      <x:c r="F4" t="str">
        <x:v>Negative Reply</x:v>
      </x:c>
      <x:c r="G4" t="str">
        <x:v>Qualified</x:v>
      </x:c>
      <x:c r="H4" t="str">
        <x:v>Compliance Traceability Review</x:v>
      </x:c>
      <x:c r="I4" t="str">
        <x:v>Partner</x:v>
      </x:c>
    </x:row>
    <x:row r="5" ht="15" hidden="0" customHeight="1">
      <x:c r="A5" t="str">
        <x:v>Acquirer/Acqui-hire</x:v>
      </x:c>
      <x:c r="B5" t="str">
        <x:v>Replied</x:v>
      </x:c>
      <x:c r="C5" t="n">
        <x:v>4</x:v>
      </x:c>
      <x:c r="D5" t="str">
        <x:v>Event</x:v>
      </x:c>
      <x:c r="E5" t="str">
        <x:v>Reply</x:v>
      </x:c>
      <x:c r="F5" t="str">
        <x:v>Call Booked</x:v>
      </x:c>
      <x:c r="G5" t="str">
        <x:v>Scoping</x:v>
      </x:c>
      <x:c r="H5" t="str">
        <x:v>SI Discovery Support</x:v>
      </x:c>
      <x:c r="I5" t="str">
        <x:v>Other</x:v>
      </x:c>
    </x:row>
    <x:row r="6" ht="15" hidden="0" customHeight="1">
      <x:c r="A6" t="str">
        <x:v>Media/Influencer</x:v>
      </x:c>
      <x:c r="B6" t="str">
        <x:v>Call Booked</x:v>
      </x:c>
      <x:c r="C6" t="n">
        <x:v>5</x:v>
      </x:c>
      <x:c r="D6" t="str">
        <x:v>Website</x:v>
      </x:c>
      <x:c r="E6" t="str">
        <x:v>Call</x:v>
      </x:c>
      <x:c r="F6" t="str">
        <x:v>Referral Offered</x:v>
      </x:c>
      <x:c r="G6" t="str">
        <x:v>Proposal</x:v>
      </x:c>
      <x:c r="H6" t="str">
        <x:v>Yggdrasil ERP Pilot</x:v>
      </x:c>
    </x:row>
    <x:row r="7" ht="15" hidden="0" customHeight="1">
      <x:c r="A7" t="str">
        <x:v>Other</x:v>
      </x:c>
      <x:c r="B7" t="str">
        <x:v>Opportunity</x:v>
      </x:c>
      <x:c r="D7" t="str">
        <x:v>Phone</x:v>
      </x:c>
      <x:c r="E7" t="str">
        <x:v>Intro Ask</x:v>
      </x:c>
      <x:c r="F7" t="str">
        <x:v>Nurture</x:v>
      </x:c>
      <x:c r="G7" t="str">
        <x:v>Negotiation</x:v>
      </x:c>
      <x:c r="H7" t="str">
        <x:v>Strategic Review</x:v>
      </x:c>
    </x:row>
    <x:row r="8" ht="15" hidden="0" customHeight="1">
      <x:c r="B8" t="str">
        <x:v>Closed Paid</x:v>
      </x:c>
      <x:c r="D8" t="str">
        <x:v>Other</x:v>
      </x:c>
      <x:c r="E8" t="str">
        <x:v>Post Engagement</x:v>
      </x:c>
      <x:c r="F8" t="str">
        <x:v>Disqualified</x:v>
      </x:c>
      <x:c r="G8" t="str">
        <x:v>Closed Won</x:v>
      </x:c>
      <x:c r="H8" t="str">
        <x:v>Investment</x:v>
      </x:c>
    </x:row>
    <x:row r="9" ht="15" hidden="0" customHeight="1">
      <x:c r="B9" t="str">
        <x:v>Nurture</x:v>
      </x:c>
      <x:c r="E9" t="str">
        <x:v>Comment</x:v>
      </x:c>
      <x:c r="F9" t="str">
        <x:v>Opportunity Created</x:v>
      </x:c>
      <x:c r="G9" t="str">
        <x:v>Closed Lost</x:v>
      </x:c>
      <x:c r="H9" t="str">
        <x:v>Acqui-hire</x:v>
      </x:c>
    </x:row>
    <x:row r="10" ht="15" hidden="0" customHeight="1">
      <x:c r="B10" t="str">
        <x:v>Disqualified</x:v>
      </x:c>
      <x:c r="E10" t="str">
        <x:v>Other</x:v>
      </x:c>
      <x:c r="F10" t="str">
        <x:v>Closed Paid</x:v>
      </x:c>
      <x:c r="G10" t="str">
        <x:v>Nurture</x:v>
      </x:c>
      <x:c r="H10" t="str">
        <x:v>Acquisition</x:v>
      </x:c>
    </x:row>
    <x:row r="11" ht="15" hidden="0" customHeight="1">
      <x:c r="B11" t="str">
        <x:v>No Response</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pageMargins left="0.7" right="0.7" top="0.75" bottom="0.75" header="0.3" footer="0.3"/>
</x:worksheet>
</file>